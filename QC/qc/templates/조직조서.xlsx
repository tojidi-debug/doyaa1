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Program Files (x86)\Comas\KICPA ECM\Checkout\"/>
    </mc:Choice>
  </mc:AlternateContent>
  <xr:revisionPtr revIDLastSave="0" documentId="13_ncr:1_{0E053CE7-C98E-4BEA-816C-077DC4864FA2}" xr6:coauthVersionLast="47" xr6:coauthVersionMax="47" xr10:uidLastSave="{00000000-0000-0000-0000-000000000000}"/>
  <bookViews>
    <workbookView xWindow="38280" yWindow="-120" windowWidth="29040" windowHeight="15720" activeTab="1" xr2:uid="{1CC63C87-B518-438A-8851-D91E366385AE}"/>
  </bookViews>
  <sheets>
    <sheet name="발견사항요약표" sheetId="1" r:id="rId1"/>
    <sheet name="조직·운영특성" sheetId="2" r:id="rId2"/>
    <sheet name="지정요건검토" sheetId="5" state="hidden" r:id="rId3"/>
    <sheet name="checklist-조직" sheetId="3" r:id="rId4"/>
    <sheet name="확인서-조직" sheetId="9" r:id="rId5"/>
    <sheet name="메모1" sheetId="8" state="hidden" r:id="rId6"/>
    <sheet name="메모2" sheetId="10" state="hidden" r:id="rId7"/>
  </sheets>
  <definedNames>
    <definedName name="_xlnm.Print_Area" localSheetId="1">조직·운영특성!$A$1:$G$21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7" i="1"/>
  <c r="C6" i="1"/>
  <c r="C5" i="1"/>
  <c r="C23" i="1" l="1"/>
  <c r="C25" i="1" s="1"/>
  <c r="A3" i="2"/>
  <c r="C4" i="1" l="1"/>
  <c r="C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LJH</author>
  </authors>
  <commentList>
    <comment ref="C24" authorId="0" shapeId="0" xr:uid="{4696063F-A964-4DA7-B35E-864ED6FB9DFC}">
      <text>
        <r>
          <rPr>
            <b/>
            <sz val="9"/>
            <color indexed="81"/>
            <rFont val="Tahoma"/>
            <family val="2"/>
          </rPr>
          <t xml:space="preserve">3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4
</t>
        </r>
        <r>
          <rPr>
            <b/>
            <sz val="9"/>
            <color indexed="81"/>
            <rFont val="돋움"/>
            <family val="3"/>
            <charset val="129"/>
          </rPr>
          <t>상황에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맞게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최종결재시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메모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삭제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KICPA</author>
  </authors>
  <commentList>
    <comment ref="B5" authorId="0" shapeId="0" xr:uid="{5A5F0A0A-F7CD-4B09-A691-62E17D9A0137}">
      <text>
        <r>
          <rPr>
            <b/>
            <sz val="9"/>
            <color indexed="81"/>
            <rFont val="Tahoma"/>
            <family val="2"/>
          </rPr>
          <t>KICPA: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사전감리자료</t>
        </r>
        <r>
          <rPr>
            <sz val="9"/>
            <color indexed="81"/>
            <rFont val="Tahoma"/>
            <family val="2"/>
          </rPr>
          <t xml:space="preserve"> 3-2</t>
        </r>
      </text>
    </comment>
    <comment ref="F5" authorId="0" shapeId="0" xr:uid="{C5DE54CB-FA58-413A-B6A7-4003BB5ABE2F}">
      <text>
        <r>
          <rPr>
            <b/>
            <sz val="9"/>
            <color indexed="81"/>
            <rFont val="Tahoma"/>
            <family val="2"/>
          </rPr>
          <t>KICPA: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사전감리자료</t>
        </r>
        <r>
          <rPr>
            <sz val="9"/>
            <color indexed="81"/>
            <rFont val="Tahoma"/>
            <family val="2"/>
          </rPr>
          <t xml:space="preserve"> 2-3</t>
        </r>
      </text>
    </comment>
    <comment ref="J5" authorId="0" shapeId="0" xr:uid="{5FE750C2-2431-44BC-A428-36717E065210}">
      <text>
        <r>
          <rPr>
            <b/>
            <sz val="9"/>
            <color indexed="81"/>
            <rFont val="Tahoma"/>
            <family val="2"/>
          </rPr>
          <t>KICPA: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사전감리자료</t>
        </r>
        <r>
          <rPr>
            <sz val="9"/>
            <color indexed="81"/>
            <rFont val="Tahoma"/>
            <family val="2"/>
          </rPr>
          <t xml:space="preserve"> 7-7</t>
        </r>
      </text>
    </comment>
  </commentList>
</comments>
</file>

<file path=xl/sharedStrings.xml><?xml version="1.0" encoding="utf-8"?>
<sst xmlns="http://schemas.openxmlformats.org/spreadsheetml/2006/main" count="340" uniqueCount="281">
  <si>
    <t>1. 감사인 조직의 품질관리제도에 관한 사항</t>
  </si>
  <si>
    <t>인적 자원</t>
  </si>
  <si>
    <t>모니터링</t>
  </si>
  <si>
    <t>【감사인 감리 발견사항 요약표】</t>
    <phoneticPr fontId="3" type="noConversion"/>
  </si>
  <si>
    <t>점  검  항  목</t>
    <phoneticPr fontId="3" type="noConversion"/>
  </si>
  <si>
    <t>발  견  사  항</t>
    <phoneticPr fontId="3" type="noConversion"/>
  </si>
  <si>
    <t>건수</t>
    <phoneticPr fontId="3" type="noConversion"/>
  </si>
  <si>
    <t>지적사항 총 건수(1.+ 2.)</t>
    <phoneticPr fontId="3" type="noConversion"/>
  </si>
  <si>
    <t>A(미설계)</t>
    <phoneticPr fontId="3" type="noConversion"/>
  </si>
  <si>
    <t>B(미운영)</t>
    <phoneticPr fontId="3" type="noConversion"/>
  </si>
  <si>
    <t>C(설계∙운영상 일부 미흡)</t>
    <phoneticPr fontId="3" type="noConversion"/>
  </si>
  <si>
    <t>D(비공개)</t>
    <phoneticPr fontId="3" type="noConversion"/>
  </si>
  <si>
    <t>2. 개별감사업무에 관한 사항</t>
    <phoneticPr fontId="3" type="noConversion"/>
  </si>
  <si>
    <t>※ 개별감사업무 점검회사 수</t>
    <phoneticPr fontId="3" type="noConversion"/>
  </si>
  <si>
    <t xml:space="preserve">    (1사당 평균지적 수)</t>
    <phoneticPr fontId="3" type="noConversion"/>
  </si>
  <si>
    <t>감사계획수립과
위험평가절차</t>
    <phoneticPr fontId="3" type="noConversion"/>
  </si>
  <si>
    <t>◦ 감사계획 수립절차</t>
    <phoneticPr fontId="3" type="noConversion"/>
  </si>
  <si>
    <t>◦ 지배기구와의 커뮤니케이션절차</t>
    <phoneticPr fontId="3" type="noConversion"/>
  </si>
  <si>
    <t>◦ 중요한 왜곡표시위험의 식별과 평가절차</t>
    <phoneticPr fontId="3" type="noConversion"/>
  </si>
  <si>
    <t>◦ 평가된 왜곡표시위험 관련 대응절차</t>
    <phoneticPr fontId="3" type="noConversion"/>
  </si>
  <si>
    <t>◦ 내부회계관리제도 검토절차</t>
    <phoneticPr fontId="3" type="noConversion"/>
  </si>
  <si>
    <t>감사증거의
수집과 문서화</t>
    <phoneticPr fontId="3" type="noConversion"/>
  </si>
  <si>
    <t>◦ 재고자산 실재성과 상태 관련 감사절차</t>
    <phoneticPr fontId="3" type="noConversion"/>
  </si>
  <si>
    <t>◦ 채권 외부조회 관련 감사절차</t>
    <phoneticPr fontId="3" type="noConversion"/>
  </si>
  <si>
    <t>◦ 표본감사 관련 감사절차</t>
    <phoneticPr fontId="3" type="noConversion"/>
  </si>
  <si>
    <t>◦ 초도감사시 기초잔액에 대한 감사절차</t>
    <phoneticPr fontId="3" type="noConversion"/>
  </si>
  <si>
    <t>◦ 특수관계자 거래에 대한 감사절차</t>
    <phoneticPr fontId="3" type="noConversion"/>
  </si>
  <si>
    <t>◦ 계속기업 존속능력에 대한 감사절차</t>
    <phoneticPr fontId="3" type="noConversion"/>
  </si>
  <si>
    <t>◦ 기타 주요 계정과목에 대한 감사절차</t>
    <phoneticPr fontId="3" type="noConversion"/>
  </si>
  <si>
    <t>감사의
종료절차</t>
    <phoneticPr fontId="3" type="noConversion"/>
  </si>
  <si>
    <t>◦ 전반적인 결론을 위한 분석적절차</t>
    <phoneticPr fontId="3" type="noConversion"/>
  </si>
  <si>
    <t>◦ 후속사건 감사절차</t>
    <phoneticPr fontId="3" type="noConversion"/>
  </si>
  <si>
    <t>◦ 서면진술 관련 문서화</t>
    <phoneticPr fontId="3" type="noConversion"/>
  </si>
  <si>
    <t>그룹재무제표
감사절차</t>
    <phoneticPr fontId="3" type="noConversion"/>
  </si>
  <si>
    <t>※ 법규 등 위반에 관한 사항</t>
    <phoneticPr fontId="3" type="noConversion"/>
  </si>
  <si>
    <t>회계처리기준 위반</t>
    <phoneticPr fontId="3" type="noConversion"/>
  </si>
  <si>
    <t>중요한 감사절차 위반</t>
    <phoneticPr fontId="3" type="noConversion"/>
  </si>
  <si>
    <t>기             타</t>
    <phoneticPr fontId="3" type="noConversion"/>
  </si>
  <si>
    <t xml:space="preserve">※ n/a : 해당없음 </t>
    <phoneticPr fontId="3" type="noConversion"/>
  </si>
  <si>
    <t>【품질관리시스템 관련 회계법인 조직 및 운영상의 특성】</t>
    <phoneticPr fontId="3" type="noConversion"/>
  </si>
  <si>
    <t>구  분</t>
    <phoneticPr fontId="3" type="noConversion"/>
  </si>
  <si>
    <t>특                           성</t>
    <phoneticPr fontId="3" type="noConversion"/>
  </si>
  <si>
    <t>Ⅰ. 조직상의 특성</t>
    <phoneticPr fontId="3" type="noConversion"/>
  </si>
  <si>
    <t>조직구조</t>
    <phoneticPr fontId="3" type="noConversion"/>
  </si>
  <si>
    <t>분사무소</t>
    <phoneticPr fontId="3" type="noConversion"/>
  </si>
  <si>
    <t>분실</t>
    <phoneticPr fontId="3" type="noConversion"/>
  </si>
  <si>
    <t>사업부</t>
    <phoneticPr fontId="3" type="noConversion"/>
  </si>
  <si>
    <t>없음</t>
    <phoneticPr fontId="3" type="noConversion"/>
  </si>
  <si>
    <t>조직형태</t>
    <phoneticPr fontId="3" type="noConversion"/>
  </si>
  <si>
    <t>품질관리실</t>
    <phoneticPr fontId="3" type="noConversion"/>
  </si>
  <si>
    <t>인원</t>
    <phoneticPr fontId="3" type="noConversion"/>
  </si>
  <si>
    <t>전담인원</t>
    <phoneticPr fontId="3" type="noConversion"/>
  </si>
  <si>
    <t>Ⅱ. 구성원의 특성</t>
    <phoneticPr fontId="3" type="noConversion"/>
  </si>
  <si>
    <t>인적구성</t>
    <phoneticPr fontId="3" type="noConversion"/>
  </si>
  <si>
    <t>CPA</t>
    <phoneticPr fontId="3" type="noConversion"/>
  </si>
  <si>
    <t>이사</t>
    <phoneticPr fontId="3" type="noConversion"/>
  </si>
  <si>
    <t>비율</t>
    <phoneticPr fontId="3" type="noConversion"/>
  </si>
  <si>
    <t>감사업무</t>
    <phoneticPr fontId="3" type="noConversion"/>
  </si>
  <si>
    <t>Ⅲ. 수임기업의 특성</t>
    <phoneticPr fontId="3" type="noConversion"/>
  </si>
  <si>
    <t>외감현황</t>
    <phoneticPr fontId="3" type="noConversion"/>
  </si>
  <si>
    <t>외감법인수</t>
    <phoneticPr fontId="3" type="noConversion"/>
  </si>
  <si>
    <t>상장법인수</t>
    <phoneticPr fontId="3" type="noConversion"/>
  </si>
  <si>
    <t>기업특성</t>
    <phoneticPr fontId="3" type="noConversion"/>
  </si>
  <si>
    <t>수임특성</t>
    <phoneticPr fontId="3" type="noConversion"/>
  </si>
  <si>
    <t>수임에 대한
보상</t>
    <phoneticPr fontId="3" type="noConversion"/>
  </si>
  <si>
    <t>Ⅳ. 품질관리상의 특성</t>
    <phoneticPr fontId="3" type="noConversion"/>
  </si>
  <si>
    <t>기타 특이점</t>
    <phoneticPr fontId="3" type="noConversion"/>
  </si>
  <si>
    <t>※ 가급적 상세하게 기술할 것</t>
    <phoneticPr fontId="3" type="noConversion"/>
  </si>
  <si>
    <t>1. 감사인 조직의 품질관리제도 점검</t>
  </si>
  <si>
    <t>발견된 특이사항</t>
  </si>
  <si>
    <t>점 검 항 목</t>
    <phoneticPr fontId="3" type="noConversion"/>
  </si>
  <si>
    <t>점   검   사   항</t>
    <phoneticPr fontId="3" type="noConversion"/>
  </si>
  <si>
    <t>(1) 관련 윤리적 요구사항</t>
    <phoneticPr fontId="3" type="noConversion"/>
  </si>
  <si>
    <t xml:space="preserve"> ◦ 감사계약기간 중 금지된 비감사업무 수행 여부 점검</t>
    <phoneticPr fontId="3" type="noConversion"/>
  </si>
  <si>
    <t xml:space="preserve"> ◦ 장기(연속)감사로 인한 독립성 훼손 여부 점검</t>
    <phoneticPr fontId="3" type="noConversion"/>
  </si>
  <si>
    <t xml:space="preserve"> ◦ 미등기이사에 의한 감사계약 및 주책임자로서의 업무 수행</t>
    <phoneticPr fontId="3" type="noConversion"/>
  </si>
  <si>
    <t xml:space="preserve"> ◦ 직무정지기간 중 감사업무수행(공인회계사법 위반) </t>
    <phoneticPr fontId="3" type="noConversion"/>
  </si>
  <si>
    <t>감사시간 집계·검증시스템 구축·운영</t>
    <phoneticPr fontId="3" type="noConversion"/>
  </si>
  <si>
    <t xml:space="preserve">#1 품질관리업무 전담자 의무설치현황 점검표  </t>
    <phoneticPr fontId="3" type="noConversion"/>
  </si>
  <si>
    <t>점 검 결 과</t>
    <phoneticPr fontId="3" type="noConversion"/>
  </si>
  <si>
    <t>적용대상 회계법인
여부 확인</t>
    <phoneticPr fontId="3" type="noConversion"/>
  </si>
  <si>
    <t xml:space="preserve"> =&gt; 해당되는 경우에 한하여 아래 항목에 대한 점검 수행</t>
    <phoneticPr fontId="3" type="noConversion"/>
  </si>
  <si>
    <t>품질관리업무 전담자의 적격성</t>
    <phoneticPr fontId="3" type="noConversion"/>
  </si>
  <si>
    <t>품질관리업무 전담자의 독립성과 충실성</t>
    <phoneticPr fontId="3" type="noConversion"/>
  </si>
  <si>
    <t>품질관리업무 전담자에 대한 관리·감독</t>
    <phoneticPr fontId="3" type="noConversion"/>
  </si>
  <si>
    <t>확   인   서</t>
    <phoneticPr fontId="3" type="noConversion"/>
  </si>
  <si>
    <t>업무의 품질관리현황을 점검받은 결과, 다음과 같은 사실이 발견되었음을</t>
    <phoneticPr fontId="3" type="noConversion"/>
  </si>
  <si>
    <t>확인합니다.</t>
    <phoneticPr fontId="3" type="noConversion"/>
  </si>
  <si>
    <t xml:space="preserve">업무품질관리검토(사전심리) 절차
</t>
    <phoneticPr fontId="3" type="noConversion"/>
  </si>
  <si>
    <t>감사조서 작성·관리절차</t>
    <phoneticPr fontId="3" type="noConversion"/>
  </si>
  <si>
    <t>ㅇ</t>
  </si>
  <si>
    <t>X</t>
  </si>
  <si>
    <t>비상장주식회사에 대한 감사인 지정요건 검토(외감규정 제14조, 별표 4의2)</t>
    <phoneticPr fontId="3" type="noConversion"/>
  </si>
  <si>
    <t>회계법인명</t>
    <phoneticPr fontId="3" type="noConversion"/>
  </si>
  <si>
    <t>품질관리업무 전담자 지정</t>
    <phoneticPr fontId="3" type="noConversion"/>
  </si>
  <si>
    <t>지정대상 회사 사전심리 대상 포함</t>
    <phoneticPr fontId="3" type="noConversion"/>
  </si>
  <si>
    <t>전담자 이름
(등록번호)</t>
    <phoneticPr fontId="3" type="noConversion"/>
  </si>
  <si>
    <t>충족여부</t>
    <phoneticPr fontId="3" type="noConversion"/>
  </si>
  <si>
    <t>내부규정(품질관리규정 등)에서 명시</t>
    <phoneticPr fontId="3" type="noConversion"/>
  </si>
  <si>
    <t>감사시간 집계 검증방법</t>
    <phoneticPr fontId="3" type="noConversion"/>
  </si>
  <si>
    <t>ERP명</t>
    <phoneticPr fontId="3" type="noConversion"/>
  </si>
  <si>
    <t>입력/승인주기(단위: 일)</t>
    <phoneticPr fontId="3" type="noConversion"/>
  </si>
  <si>
    <t>ㅇ</t>
    <phoneticPr fontId="3" type="noConversion"/>
  </si>
  <si>
    <t>N/A</t>
    <phoneticPr fontId="3" type="noConversion"/>
  </si>
  <si>
    <t>*1 공인회계사 이력조회 확인</t>
    <phoneticPr fontId="3" type="noConversion"/>
  </si>
  <si>
    <t>*2 상기 이외의 기간에는 품질관리업무와 이해상충되거나 충실성을 저해할 위험이 없는 범위내에서만 다른 직무를 수행하고 있는지도 확인(타임리포트 등 확인)</t>
    <phoneticPr fontId="3" type="noConversion"/>
  </si>
  <si>
    <t>ERP(전산)시스템</t>
    <phoneticPr fontId="3" type="noConversion"/>
  </si>
  <si>
    <t>X</t>
    <phoneticPr fontId="3" type="noConversion"/>
  </si>
  <si>
    <t>수작업(엑셀 등)</t>
    <phoneticPr fontId="3" type="noConversion"/>
  </si>
  <si>
    <t>기타</t>
    <phoneticPr fontId="3" type="noConversion"/>
  </si>
  <si>
    <t>*3 지정된 회사가 있는 경우에만 기재</t>
    <phoneticPr fontId="3" type="noConversion"/>
  </si>
  <si>
    <t>*4 지정회사가 다수인 경우 모두 사전심리를 수행한 경우에만 "ㅇ"</t>
    <phoneticPr fontId="3" type="noConversion"/>
  </si>
  <si>
    <t>*6 감사시간집계시스템 구축운영에 대한 구체적인 운영계획이 있는 경우에는 기재(사원총회나 이사회 의사록 등에 구체적인 계획내용이 있는 경우, ERP계약을 체결하여 구축중인 경우 등)</t>
    <phoneticPr fontId="3" type="noConversion"/>
  </si>
  <si>
    <r>
      <t>승인 후 수정가능</t>
    </r>
    <r>
      <rPr>
        <b/>
        <vertAlign val="superscript"/>
        <sz val="10"/>
        <rFont val="바탕"/>
        <family val="1"/>
        <charset val="129"/>
      </rPr>
      <t>*5</t>
    </r>
    <r>
      <rPr>
        <b/>
        <sz val="10"/>
        <rFont val="바탕"/>
        <family val="1"/>
        <charset val="129"/>
      </rPr>
      <t>여부</t>
    </r>
    <phoneticPr fontId="3" type="noConversion"/>
  </si>
  <si>
    <t>업무품질관리검토(사전심리) 절차</t>
    <phoneticPr fontId="3" type="noConversion"/>
  </si>
  <si>
    <t>작성자 : 홍길동</t>
    <phoneticPr fontId="3" type="noConversion"/>
  </si>
  <si>
    <t>작 성 예 시 (작 성 요 령)</t>
    <phoneticPr fontId="3" type="noConversion"/>
  </si>
  <si>
    <t>감사사업부의 수만을 의미</t>
    <phoneticPr fontId="3" type="noConversion"/>
  </si>
  <si>
    <t>이사별 독립채산제</t>
    <phoneticPr fontId="3" type="noConversion"/>
  </si>
  <si>
    <t>예) 자금·회계통합조직(One-Firm체제)
    사업부별 독립채산제
    이사별 독립채산제</t>
    <phoneticPr fontId="3" type="noConversion"/>
  </si>
  <si>
    <t>수습회계사 제외</t>
    <phoneticPr fontId="3" type="noConversion"/>
  </si>
  <si>
    <t>대부분 Big4출신으로 40대초반이 주류</t>
    <phoneticPr fontId="3" type="noConversion"/>
  </si>
  <si>
    <t>예) 대부분 Big4출신으로 40대초반이 주류
    대부분 감사반출신으로 고령자</t>
    <phoneticPr fontId="3" type="noConversion"/>
  </si>
  <si>
    <t>SPC기업이 10개이며, 기타는 대부분 해외투자기업임</t>
    <phoneticPr fontId="3" type="noConversion"/>
  </si>
  <si>
    <t>예) SPC기업 5개
    대부분 일본계 기업</t>
    <phoneticPr fontId="3" type="noConversion"/>
  </si>
  <si>
    <t>소수(3인)에 의해 대부분 수임</t>
    <phoneticPr fontId="3" type="noConversion"/>
  </si>
  <si>
    <t>예) 소수(3인)에 의해 대부분 수임
    다수의 수임자에 의한 분산</t>
    <phoneticPr fontId="3" type="noConversion"/>
  </si>
  <si>
    <t>자산규모 1000억 이상인 경우 감사보수의 10%, 1000억 미만인 경우 감사보수의 15% 지급</t>
    <phoneticPr fontId="3" type="noConversion"/>
  </si>
  <si>
    <t>법인에서 일반적으로 적용하고 있는 수임에 따른 수수료를 의미하며, 감사참여에 의한 대가는 제외함, 면담 등을 통하여 확인 가능</t>
    <phoneticPr fontId="3" type="noConversion"/>
  </si>
  <si>
    <t>One-Firm 체제이며, Big4 출신으로 감사경험이 풍부한 전담 품관실장에 의한 관리로 인해 품질관리수준 우수</t>
    <phoneticPr fontId="3" type="noConversion"/>
  </si>
  <si>
    <t>수작업(엑셀 등)</t>
  </si>
  <si>
    <t>ERP(전산)시스템</t>
  </si>
  <si>
    <t>ㅇㅇ회계법인</t>
    <phoneticPr fontId="3" type="noConversion"/>
  </si>
  <si>
    <t>김XX(1234)</t>
    <phoneticPr fontId="3" type="noConversion"/>
  </si>
  <si>
    <t>2000.9~현재</t>
    <phoneticPr fontId="3" type="noConversion"/>
  </si>
  <si>
    <t>㈜ AAA</t>
    <phoneticPr fontId="3" type="noConversion"/>
  </si>
  <si>
    <t>2018.5.1.</t>
    <phoneticPr fontId="3" type="noConversion"/>
  </si>
  <si>
    <t>△△회계법인</t>
    <phoneticPr fontId="3" type="noConversion"/>
  </si>
  <si>
    <t>굿맨소프트</t>
    <phoneticPr fontId="3" type="noConversion"/>
  </si>
  <si>
    <t>㈜BBB</t>
    <phoneticPr fontId="3" type="noConversion"/>
  </si>
  <si>
    <t>*3 심리사항점검표, 감사종결조서, Review note등 확인</t>
    <phoneticPr fontId="3" type="noConversion"/>
  </si>
  <si>
    <r>
      <t>*5 승인권자의 승인 후 T/R입력자의 사후 임의수정을 시스템상 허용하고 있는지 여부</t>
    </r>
    <r>
      <rPr>
        <sz val="11"/>
        <color indexed="10"/>
        <rFont val="돋움"/>
        <family val="3"/>
        <charset val="129"/>
      </rPr>
      <t>(단순오류수정은 제외)</t>
    </r>
    <phoneticPr fontId="3" type="noConversion"/>
  </si>
  <si>
    <r>
      <t>감사시간 집계 및 검증시스템 구축 운영</t>
    </r>
    <r>
      <rPr>
        <b/>
        <vertAlign val="superscript"/>
        <sz val="10"/>
        <rFont val="돋움체"/>
        <family val="3"/>
        <charset val="129"/>
      </rPr>
      <t>*6</t>
    </r>
    <phoneticPr fontId="3" type="noConversion"/>
  </si>
  <si>
    <r>
      <t>감사업무수행기간(5년이상)</t>
    </r>
    <r>
      <rPr>
        <b/>
        <vertAlign val="superscript"/>
        <sz val="10"/>
        <rFont val="돋움체"/>
        <family val="3"/>
        <charset val="129"/>
      </rPr>
      <t>*1</t>
    </r>
    <phoneticPr fontId="3" type="noConversion"/>
  </si>
  <si>
    <r>
      <t xml:space="preserve"> 품질관리 전담
(2022.12.1~ 3.31.)</t>
    </r>
    <r>
      <rPr>
        <b/>
        <vertAlign val="superscript"/>
        <sz val="10"/>
        <rFont val="돋움체"/>
        <family val="3"/>
        <charset val="129"/>
      </rPr>
      <t>*2</t>
    </r>
    <phoneticPr fontId="3" type="noConversion"/>
  </si>
  <si>
    <r>
      <t>지정회사</t>
    </r>
    <r>
      <rPr>
        <b/>
        <vertAlign val="superscript"/>
        <sz val="10"/>
        <rFont val="돋움체"/>
        <family val="3"/>
        <charset val="129"/>
      </rPr>
      <t>*3</t>
    </r>
    <phoneticPr fontId="3" type="noConversion"/>
  </si>
  <si>
    <r>
      <t>사전심리수행여부</t>
    </r>
    <r>
      <rPr>
        <b/>
        <vertAlign val="superscript"/>
        <sz val="10"/>
        <rFont val="돋움체"/>
        <family val="3"/>
        <charset val="129"/>
      </rPr>
      <t>*3</t>
    </r>
    <phoneticPr fontId="3" type="noConversion"/>
  </si>
  <si>
    <r>
      <t>충족여부</t>
    </r>
    <r>
      <rPr>
        <b/>
        <vertAlign val="superscript"/>
        <sz val="10"/>
        <rFont val="돋움체"/>
        <family val="3"/>
        <charset val="129"/>
      </rPr>
      <t>*4</t>
    </r>
    <phoneticPr fontId="3" type="noConversion"/>
  </si>
  <si>
    <r>
      <t>구축</t>
    </r>
    <r>
      <rPr>
        <b/>
        <sz val="10"/>
        <rFont val="맑은 고딕"/>
        <family val="3"/>
        <charset val="129"/>
      </rPr>
      <t>·</t>
    </r>
    <r>
      <rPr>
        <b/>
        <sz val="10"/>
        <rFont val="돋움체"/>
        <family val="3"/>
        <charset val="129"/>
      </rPr>
      <t>운영시기</t>
    </r>
    <phoneticPr fontId="3" type="noConversion"/>
  </si>
  <si>
    <t>독립성 등 법규위반 여부</t>
    <phoneticPr fontId="3" type="noConversion"/>
  </si>
  <si>
    <t>감사조서 작성∙관리절차</t>
    <phoneticPr fontId="3" type="noConversion"/>
  </si>
  <si>
    <t>업무품질관리검토(사전심리) 절차</t>
    <phoneticPr fontId="2" type="noConversion"/>
  </si>
  <si>
    <t>B</t>
    <phoneticPr fontId="2" type="noConversion"/>
  </si>
  <si>
    <t>C</t>
    <phoneticPr fontId="2" type="noConversion"/>
  </si>
  <si>
    <r>
      <rPr>
        <b/>
        <sz val="11"/>
        <rFont val="맑은 고딕"/>
        <family val="3"/>
        <charset val="129"/>
        <scheme val="minor"/>
      </rPr>
      <t>자유롭게 기입하되, 지적사항이 평균수준보다 많거나 또는 적은 경우에는
반드시 서술할 것</t>
    </r>
    <r>
      <rPr>
        <sz val="11"/>
        <rFont val="맑은 고딕"/>
        <family val="3"/>
        <charset val="129"/>
        <scheme val="minor"/>
      </rPr>
      <t xml:space="preserve">
* 우수 예) One-Firm 체제, 전담 품관실장에 의한 관리, 매주 전체회의를 통한
    법인내 의사소통 원활, 소수의 이사(3명)가 동일한 가치관을 가지고 회계법인
    전체를 관할 등으로 인해 품질관리수준 우수
* 취약 예) 형식적인 품감실의 운영, 다수의 지점/분사무소(8개)가 있고 이에
    대한 통제기능 취약, 외감법감사가 적어(6개사, 전체수입 대비 6%) 체계적인 
    품질관리시스템 유지 필요성에 대한 의식이 낮음, 빈번한 품감실장의 교체(5
    년간 3회)로 업무연속성 취약 등으로 인해 품질관리수준 낮음</t>
    </r>
    <phoneticPr fontId="3" type="noConversion"/>
  </si>
  <si>
    <t>(2) 인적자원</t>
    <phoneticPr fontId="3" type="noConversion"/>
  </si>
  <si>
    <t>1. 감사인은 독립성관련 법규, 전문적 기준 및 공인회계사윤리기준 등에서 규정하고 있는 사항을 준수하고 있는가?</t>
    <phoneticPr fontId="3" type="noConversion"/>
  </si>
  <si>
    <t xml:space="preserve">1. 감사인은 감사시간을 적시에 집계 및 검증할 수 있는 시스템(감사시간 관리 시스템)을 설계·운영하고 있는가? </t>
    <phoneticPr fontId="3" type="noConversion"/>
  </si>
  <si>
    <r>
      <t xml:space="preserve"> </t>
    </r>
    <r>
      <rPr>
        <sz val="10"/>
        <color rgb="FF000000"/>
        <rFont val="Segoe UI Symbol"/>
        <family val="3"/>
      </rPr>
      <t>◦</t>
    </r>
    <r>
      <rPr>
        <sz val="10"/>
        <color indexed="8"/>
        <rFont val="맑은 고딕"/>
        <family val="3"/>
        <charset val="129"/>
        <scheme val="minor"/>
      </rPr>
      <t xml:space="preserve"> 구성원 개인별, 감사업무별 업무수행일자를 기재한 감사시간집계표의 작성·유지 여부 점검</t>
    </r>
    <phoneticPr fontId="3" type="noConversion"/>
  </si>
  <si>
    <r>
      <rPr>
        <sz val="10"/>
        <color rgb="FF000000"/>
        <rFont val="Segoe UI Symbol"/>
        <family val="3"/>
      </rPr>
      <t xml:space="preserve"> ◦</t>
    </r>
    <r>
      <rPr>
        <sz val="10"/>
        <color rgb="FF000000"/>
        <rFont val="Calibri"/>
        <family val="3"/>
      </rPr>
      <t xml:space="preserve"> </t>
    </r>
    <r>
      <rPr>
        <sz val="10"/>
        <color indexed="8"/>
        <rFont val="맑은 고딕"/>
        <family val="3"/>
        <charset val="129"/>
        <scheme val="minor"/>
      </rPr>
      <t>감사시간</t>
    </r>
    <r>
      <rPr>
        <sz val="10"/>
        <color rgb="FF000000"/>
        <rFont val="Calibri"/>
        <family val="3"/>
      </rPr>
      <t xml:space="preserve"> </t>
    </r>
    <r>
      <rPr>
        <sz val="10"/>
        <color indexed="8"/>
        <rFont val="맑은 고딕"/>
        <family val="3"/>
        <charset val="129"/>
        <scheme val="minor"/>
      </rPr>
      <t>집계관리</t>
    </r>
    <r>
      <rPr>
        <sz val="10"/>
        <color rgb="FF000000"/>
        <rFont val="Calibri"/>
        <family val="3"/>
      </rPr>
      <t xml:space="preserve"> </t>
    </r>
    <r>
      <rPr>
        <sz val="10"/>
        <color indexed="8"/>
        <rFont val="맑은 고딕"/>
        <family val="3"/>
        <charset val="129"/>
        <scheme val="minor"/>
      </rPr>
      <t>입력</t>
    </r>
    <r>
      <rPr>
        <sz val="10"/>
        <color rgb="FF000000"/>
        <rFont val="Calibri"/>
        <family val="3"/>
      </rPr>
      <t xml:space="preserve"> </t>
    </r>
    <r>
      <rPr>
        <sz val="10"/>
        <color indexed="8"/>
        <rFont val="맑은 고딕"/>
        <family val="3"/>
        <charset val="129"/>
        <scheme val="minor"/>
      </rPr>
      <t>및</t>
    </r>
    <r>
      <rPr>
        <sz val="10"/>
        <color rgb="FF000000"/>
        <rFont val="Calibri"/>
        <family val="3"/>
      </rPr>
      <t xml:space="preserve"> </t>
    </r>
    <r>
      <rPr>
        <sz val="10"/>
        <color indexed="8"/>
        <rFont val="맑은 고딕"/>
        <family val="3"/>
        <charset val="129"/>
        <scheme val="minor"/>
      </rPr>
      <t>승인</t>
    </r>
    <r>
      <rPr>
        <sz val="10"/>
        <color rgb="FF000000"/>
        <rFont val="Calibri"/>
        <family val="3"/>
      </rPr>
      <t xml:space="preserve"> </t>
    </r>
    <r>
      <rPr>
        <sz val="10"/>
        <color indexed="8"/>
        <rFont val="맑은 고딕"/>
        <family val="3"/>
        <charset val="129"/>
        <scheme val="minor"/>
      </rPr>
      <t>등에</t>
    </r>
    <r>
      <rPr>
        <sz val="10"/>
        <color rgb="FF000000"/>
        <rFont val="Calibri"/>
        <family val="3"/>
      </rPr>
      <t xml:space="preserve"> </t>
    </r>
    <r>
      <rPr>
        <sz val="10"/>
        <color indexed="8"/>
        <rFont val="맑은 고딕"/>
        <family val="3"/>
        <charset val="129"/>
        <scheme val="minor"/>
      </rPr>
      <t>대한</t>
    </r>
    <r>
      <rPr>
        <sz val="10"/>
        <color rgb="FF000000"/>
        <rFont val="Calibri"/>
        <family val="3"/>
      </rPr>
      <t xml:space="preserve"> </t>
    </r>
    <r>
      <rPr>
        <sz val="10"/>
        <color indexed="8"/>
        <rFont val="맑은 고딕"/>
        <family val="3"/>
        <charset val="129"/>
        <scheme val="minor"/>
      </rPr>
      <t>내부통제</t>
    </r>
    <r>
      <rPr>
        <sz val="10"/>
        <color rgb="FF000000"/>
        <rFont val="Calibri"/>
        <family val="3"/>
      </rPr>
      <t xml:space="preserve"> </t>
    </r>
    <r>
      <rPr>
        <sz val="10"/>
        <color indexed="8"/>
        <rFont val="맑은 고딕"/>
        <family val="3"/>
        <charset val="129"/>
        <scheme val="minor"/>
      </rPr>
      <t>기준</t>
    </r>
    <r>
      <rPr>
        <sz val="10"/>
        <color rgb="FF000000"/>
        <rFont val="Calibri"/>
        <family val="3"/>
      </rPr>
      <t xml:space="preserve"> </t>
    </r>
    <r>
      <rPr>
        <sz val="10"/>
        <color indexed="8"/>
        <rFont val="맑은 고딕"/>
        <family val="3"/>
        <charset val="129"/>
        <scheme val="minor"/>
      </rPr>
      <t>구비</t>
    </r>
    <r>
      <rPr>
        <sz val="10"/>
        <color rgb="FF000000"/>
        <rFont val="Calibri"/>
        <family val="3"/>
      </rPr>
      <t xml:space="preserve"> </t>
    </r>
    <r>
      <rPr>
        <sz val="10"/>
        <color indexed="8"/>
        <rFont val="맑은 고딕"/>
        <family val="3"/>
        <charset val="129"/>
        <scheme val="minor"/>
      </rPr>
      <t>여부</t>
    </r>
    <r>
      <rPr>
        <sz val="10"/>
        <color rgb="FF000000"/>
        <rFont val="Calibri"/>
        <family val="3"/>
      </rPr>
      <t xml:space="preserve"> </t>
    </r>
    <r>
      <rPr>
        <sz val="10"/>
        <color indexed="8"/>
        <rFont val="맑은 고딕"/>
        <family val="3"/>
        <charset val="129"/>
        <scheme val="minor"/>
      </rPr>
      <t>점검</t>
    </r>
    <phoneticPr fontId="3" type="noConversion"/>
  </si>
  <si>
    <t>2. 지점 및 분사무소가 있는 경우, 일원화된 정책과 절차를 적용하고 그에 대한 모니터링이 적절히 실시되고 있는가?</t>
  </si>
  <si>
    <t>2. 지점 및 분사무소가 있는 경우, 일원화된 정책과 절차를 적용하고 그에 대한 모니터링이 적절히 실시되고 있는가?</t>
    <phoneticPr fontId="3" type="noConversion"/>
  </si>
  <si>
    <t>감사시간 모니터링</t>
    <phoneticPr fontId="3" type="noConversion"/>
  </si>
  <si>
    <t>1. 감사인은 감사시간집계 내역에 대한 모니터링을 하고 있는가?</t>
  </si>
  <si>
    <t xml:space="preserve"> ◦ 감사시간집계 결과와 예산, 전년도 실적 등 차이분석 여부 점검</t>
  </si>
  <si>
    <t xml:space="preserve"> ◦ 피감회사별 집계된 감사시간과 외부감사 실시내용에 공시된 감사투입시간이 일치하는지 확인하는 절차 수행여부 점검</t>
  </si>
  <si>
    <t>감사시간 관리절차</t>
    <phoneticPr fontId="3" type="noConversion"/>
  </si>
  <si>
    <t>1. 감사인은 업무팀의 유의적 판단사항 및 보고서 작성과정에서 도달된 결론을 객관적으로 평가하는 품질관리검토에 대한 정책과 절차를 설계·운영하고 있는가?</t>
    <phoneticPr fontId="3" type="noConversion"/>
  </si>
  <si>
    <t xml:space="preserve"> ◦ 품질관리검토가 필요한 업무를 결정하는 기준에 지정회사, 위험이 높은 회사 등을 적절히 포함하는지 검토 (사전심리대상회사 선정에 대한 규정이 적절한지 검토하고 규정에 맞게 대상회사가 선정되었는지 확인)</t>
  </si>
  <si>
    <r>
      <t xml:space="preserve"> </t>
    </r>
    <r>
      <rPr>
        <sz val="10"/>
        <rFont val="Segoe UI Symbol"/>
        <family val="3"/>
      </rPr>
      <t>◦</t>
    </r>
    <r>
      <rPr>
        <sz val="10"/>
        <rFont val="맑은 고딕"/>
        <family val="3"/>
        <charset val="129"/>
        <scheme val="minor"/>
      </rPr>
      <t xml:space="preserve"> 업무품질관리검토의 범위는 무엇보다, 해당 기업이 지정회사인지 여부 등 업무의 복잡성과 보고서가 해당 상황에 적합하지 않을 수 있는 위험에 의해 결정되는지 검토</t>
    </r>
    <phoneticPr fontId="3" type="noConversion"/>
  </si>
  <si>
    <t>2. 감사인은 적격한 품질관리검토자의 임명과 적격성에 대하여 적절한 정책과 절차를 설계·운영하고 있는가?</t>
    <phoneticPr fontId="3" type="noConversion"/>
  </si>
  <si>
    <r>
      <t xml:space="preserve"> </t>
    </r>
    <r>
      <rPr>
        <sz val="10"/>
        <rFont val="Segoe UI Symbol"/>
        <family val="3"/>
      </rPr>
      <t>◦</t>
    </r>
    <r>
      <rPr>
        <sz val="10"/>
        <rFont val="맑은 고딕"/>
        <family val="3"/>
        <charset val="129"/>
        <scheme val="minor"/>
      </rPr>
      <t xml:space="preserve"> 품질관리검토자의 적격성과 관련하여 기술적 전문성, 자격, 경험 및 권한에 대해 구체적으로 규정하고 있는지 검토</t>
    </r>
    <phoneticPr fontId="3" type="noConversion"/>
  </si>
  <si>
    <r>
      <t xml:space="preserve"> </t>
    </r>
    <r>
      <rPr>
        <sz val="10"/>
        <rFont val="Segoe UI Symbol"/>
        <family val="3"/>
      </rPr>
      <t>◦</t>
    </r>
    <r>
      <rPr>
        <sz val="10"/>
        <rFont val="맑은 고딕"/>
        <family val="3"/>
        <charset val="129"/>
        <scheme val="minor"/>
      </rPr>
      <t xml:space="preserve"> 품질관리검토자의 객관성을 유지하기 위해 여러 가지 안전장치를 규정하고 있는지 확인</t>
    </r>
    <phoneticPr fontId="3" type="noConversion"/>
  </si>
  <si>
    <r>
      <t xml:space="preserve"> </t>
    </r>
    <r>
      <rPr>
        <sz val="10"/>
        <rFont val="Segoe UI Symbol"/>
        <family val="3"/>
      </rPr>
      <t>◦</t>
    </r>
    <r>
      <rPr>
        <sz val="10"/>
        <rFont val="맑은 고딕"/>
        <family val="3"/>
        <charset val="129"/>
        <scheme val="minor"/>
      </rPr>
      <t xml:space="preserve"> 품질관리검토자 선정시 객관성을 유지할 수 있도록 설계되어 있는지 확인(예, 담당이사 상호간에 교차심리를 수행하는 경우 검토자의 객관성 결여)</t>
    </r>
    <phoneticPr fontId="3" type="noConversion"/>
  </si>
  <si>
    <t>3. 지점 및 분사무소가 있는 경우, 일원화된 정책과 절차를 적용하고 그에 대한 모니터링이 적절히 실시되고 있는가?</t>
    <phoneticPr fontId="3" type="noConversion"/>
  </si>
  <si>
    <t>업무품질관리검토절차 수립과 업무배정</t>
    <phoneticPr fontId="3" type="noConversion"/>
  </si>
  <si>
    <t>사전심리 수행과 해결사항의 문서화</t>
    <phoneticPr fontId="3" type="noConversion"/>
  </si>
  <si>
    <t>1. 감사인의 품질관리검토 관련 정책과 절차와 관련하여 다음을 포함하여 적절히 수행하고 있는가?</t>
    <phoneticPr fontId="3" type="noConversion"/>
  </si>
  <si>
    <r>
      <t xml:space="preserve"> </t>
    </r>
    <r>
      <rPr>
        <sz val="10"/>
        <rFont val="Segoe UI Symbol"/>
        <family val="3"/>
      </rPr>
      <t>◦</t>
    </r>
    <r>
      <rPr>
        <sz val="10"/>
        <rFont val="맑은 고딕"/>
        <family val="3"/>
        <charset val="129"/>
        <scheme val="minor"/>
      </rPr>
      <t xml:space="preserve"> 감사인과 피감사회사 간 독립성에 대한 업무팀의 평가</t>
    </r>
    <phoneticPr fontId="3" type="noConversion"/>
  </si>
  <si>
    <r>
      <t xml:space="preserve"> </t>
    </r>
    <r>
      <rPr>
        <sz val="10"/>
        <rFont val="Segoe UI Symbol"/>
        <family val="3"/>
      </rPr>
      <t>◦</t>
    </r>
    <r>
      <rPr>
        <sz val="10"/>
        <rFont val="맑은 고딕"/>
        <family val="3"/>
        <charset val="129"/>
        <scheme val="minor"/>
      </rPr>
      <t xml:space="preserve"> 업무품질관리검토에 대한 감사인의 정책에서 요구되는 절차가 문서화되어 있는지 점검</t>
    </r>
    <phoneticPr fontId="3" type="noConversion"/>
  </si>
  <si>
    <r>
      <t xml:space="preserve"> </t>
    </r>
    <r>
      <rPr>
        <sz val="10"/>
        <rFont val="Segoe UI Symbol"/>
        <family val="3"/>
      </rPr>
      <t>◦</t>
    </r>
    <r>
      <rPr>
        <sz val="10"/>
        <rFont val="맑은 고딕"/>
        <family val="3"/>
        <charset val="129"/>
        <scheme val="minor"/>
      </rPr>
      <t xml:space="preserve"> 업무품질관리검토자는 업무팀이 내린 유의적 판단과 도달된 결론이 적합하지 않았다고 판단할 만한 어떠한 미해결 사항도 인지하고 있지 아니한지 검토</t>
    </r>
    <phoneticPr fontId="3" type="noConversion"/>
  </si>
  <si>
    <r>
      <t xml:space="preserve"> </t>
    </r>
    <r>
      <rPr>
        <sz val="10"/>
        <rFont val="Segoe UI Symbol"/>
        <family val="3"/>
      </rPr>
      <t>◦</t>
    </r>
    <r>
      <rPr>
        <sz val="10"/>
        <rFont val="맑은 고딕"/>
        <family val="3"/>
        <charset val="129"/>
        <scheme val="minor"/>
      </rPr>
      <t xml:space="preserve"> 심리사항점검표 또는 감사종료서식 작성여부 확인</t>
    </r>
    <phoneticPr fontId="3" type="noConversion"/>
  </si>
  <si>
    <r>
      <t xml:space="preserve"> </t>
    </r>
    <r>
      <rPr>
        <sz val="10"/>
        <rFont val="Segoe UI Symbol"/>
        <family val="3"/>
      </rPr>
      <t>◦</t>
    </r>
    <r>
      <rPr>
        <sz val="10"/>
        <rFont val="맑은 고딕"/>
        <family val="3"/>
        <charset val="129"/>
        <scheme val="minor"/>
      </rPr>
      <t xml:space="preserve">  감사보고서 초안에 대한 검토 뿐 아니라 주요 감사절차 등 감사 조서에 대한 검토가 이루어지고 리뷰사항에 대한 답변과 보완 내용이 문서화 되어있는지 확인 </t>
    </r>
    <phoneticPr fontId="3" type="noConversion"/>
  </si>
  <si>
    <r>
      <t xml:space="preserve"> </t>
    </r>
    <r>
      <rPr>
        <sz val="10"/>
        <rFont val="Segoe UI Symbol"/>
        <family val="3"/>
      </rPr>
      <t>◦</t>
    </r>
    <r>
      <rPr>
        <sz val="10"/>
        <rFont val="맑은 고딕"/>
        <family val="3"/>
        <charset val="129"/>
        <scheme val="minor"/>
      </rPr>
      <t xml:space="preserve"> 중요성 및 유의적 위험에 대한 대응 및 판단</t>
    </r>
    <phoneticPr fontId="3" type="noConversion"/>
  </si>
  <si>
    <t>2. 감사인이 수행한 업무품질관리검토가 적절히 문서화 되어 있는가?</t>
    <phoneticPr fontId="3" type="noConversion"/>
  </si>
  <si>
    <r>
      <rPr>
        <sz val="10"/>
        <rFont val="Segoe UI Symbol"/>
        <family val="3"/>
      </rPr>
      <t xml:space="preserve"> ◦ </t>
    </r>
    <r>
      <rPr>
        <sz val="10"/>
        <rFont val="맑은 고딕"/>
        <family val="3"/>
        <charset val="129"/>
        <scheme val="minor"/>
      </rPr>
      <t>업무팀 내 의견의 차이가 있는 문제, 해결이 어렵거나 논쟁의 여지가 있는 문제에 대하여 적절하게 자문했는지 여부 및 자문결과의 내용</t>
    </r>
    <phoneticPr fontId="3" type="noConversion"/>
  </si>
  <si>
    <r>
      <t xml:space="preserve"> </t>
    </r>
    <r>
      <rPr>
        <sz val="10"/>
        <rFont val="Segoe UI Symbol"/>
        <family val="3"/>
      </rPr>
      <t>◦</t>
    </r>
    <r>
      <rPr>
        <sz val="10"/>
        <rFont val="맑은 고딕"/>
        <family val="3"/>
        <charset val="129"/>
        <scheme val="minor"/>
      </rPr>
      <t xml:space="preserve"> 업무수행시 파악된 왜곡표시사항의 중요성과 처리결과</t>
    </r>
    <phoneticPr fontId="3" type="noConversion"/>
  </si>
  <si>
    <r>
      <t xml:space="preserve"> </t>
    </r>
    <r>
      <rPr>
        <sz val="10"/>
        <rFont val="Segoe UI Symbol"/>
        <family val="3"/>
      </rPr>
      <t xml:space="preserve">◦ </t>
    </r>
    <r>
      <rPr>
        <sz val="10"/>
        <rFont val="맑은 고딕"/>
        <family val="3"/>
        <charset val="129"/>
        <scheme val="minor"/>
      </rPr>
      <t>피감사회사의 경영진 및 내부감시기구 또는 규제기관 등 제3자에게 보고하여야 할 사항</t>
    </r>
    <phoneticPr fontId="3" type="noConversion"/>
  </si>
  <si>
    <r>
      <t xml:space="preserve"> </t>
    </r>
    <r>
      <rPr>
        <sz val="10"/>
        <rFont val="Segoe UI Symbol"/>
        <family val="3"/>
      </rPr>
      <t>◦</t>
    </r>
    <r>
      <rPr>
        <sz val="10"/>
        <rFont val="맑은 고딕"/>
        <family val="3"/>
        <charset val="129"/>
        <scheme val="minor"/>
      </rPr>
      <t xml:space="preserve"> 감사조서 및 발행할 보고서의 적절성</t>
    </r>
    <phoneticPr fontId="3" type="noConversion"/>
  </si>
  <si>
    <t>3. 지점 및 분사무소가 있는 경우, 일원화된 정책과 절차를 
   적용하고 그에 대한 모니터링이 적절히 실시되고 있는가?</t>
  </si>
  <si>
    <t>1. 감사인은 품질관리검토절차가 완료되지 않고는 보고서가 발행되지 않는 정책과 절차를 설계·운영하고 있는가?</t>
    <phoneticPr fontId="3" type="noConversion"/>
  </si>
  <si>
    <r>
      <t xml:space="preserve"> </t>
    </r>
    <r>
      <rPr>
        <sz val="10"/>
        <rFont val="Segoe UI Symbol"/>
        <family val="3"/>
      </rPr>
      <t>◦</t>
    </r>
    <r>
      <rPr>
        <sz val="10"/>
        <rFont val="맑은 고딕"/>
        <family val="3"/>
        <charset val="129"/>
        <scheme val="minor"/>
      </rPr>
      <t xml:space="preserve"> 보고서 발행 전 품질관리검토절차의 완료를 확인하는 절차(Report docket 등)가 있는지 점검</t>
    </r>
    <phoneticPr fontId="3" type="noConversion"/>
  </si>
  <si>
    <t xml:space="preserve"> ◦ 공인인증서는 품질관리실에서 관리(또는 별도의 담당자를 지정하고 있는지)되고 감사보고서도 품질관리실에서 공시하는지 점검</t>
  </si>
  <si>
    <t>2. 감사인이 발행한 보고서는 업무품질관리검토 정책에 따라(업무품질관리검토의 구체적 성격, 시기 및 범위)에 따라 업무품질관리가 적절하게 수행된 것인지 검토</t>
  </si>
  <si>
    <t xml:space="preserve"> ◦ 보고서의 일자는 업무품질관리검토 완료 이후가 되는지 점검</t>
  </si>
  <si>
    <t xml:space="preserve"> ◦ 적시에 업무품질관리검토를 수행하는 것은 유의적 사항이 
   보고서일 이전에, 업무품질관리검토가 만족할 수 있는 
   정도로, 신속히 해결될 수 있게 하는지 확인</t>
  </si>
  <si>
    <t>1. 감사인은 조서관리담당자를 지정하여 조서관리활동(취합, 입출고, 폐기 관리, 조서의 변경이나 분실방지, 필요시 조서실사 등)을 수행하고 이를 모니터링하는 정책과 절차를 설계·운영하고 있는가?</t>
    <phoneticPr fontId="3" type="noConversion"/>
  </si>
  <si>
    <r>
      <t xml:space="preserve"> </t>
    </r>
    <r>
      <rPr>
        <sz val="10"/>
        <rFont val="Segoe UI Symbol"/>
        <family val="3"/>
      </rPr>
      <t>◦</t>
    </r>
    <r>
      <rPr>
        <sz val="10"/>
        <rFont val="맑은 고딕"/>
        <family val="3"/>
        <charset val="129"/>
        <scheme val="minor"/>
      </rPr>
      <t xml:space="preserve"> 감사조서관리 담당자의 지정 확인, 조서관리담당자의 업무(예, 취합, 입출고, 폐기대장 관리, 조서의 임의 변형∙추가 방지등)와 모니터링 업무 수행 점검 </t>
    </r>
    <phoneticPr fontId="3" type="noConversion"/>
  </si>
  <si>
    <t>2. 감사인은 해당 업무의 보고서가 확정된 후 업무팀이 적시에 최종업무 파일의 취합을 완료하도록 하는 정책과 절차를 설계·운영하고 있는가?</t>
    <phoneticPr fontId="3" type="noConversion"/>
  </si>
  <si>
    <r>
      <t xml:space="preserve"> </t>
    </r>
    <r>
      <rPr>
        <sz val="10"/>
        <rFont val="Segoe UI Symbol"/>
        <family val="3"/>
      </rPr>
      <t>◦</t>
    </r>
    <r>
      <rPr>
        <sz val="10"/>
        <rFont val="맑은 고딕"/>
        <family val="3"/>
        <charset val="129"/>
        <scheme val="minor"/>
      </rPr>
      <t xml:space="preserve"> 최종업무파일의 취합완료기한(감사보고서일로부터 60일(이하 '기한')이내 취합 완료하기 위해 전체 구성원을 대상으로 안내/독려하는 절차를 수행하고 있는지 점검</t>
    </r>
    <phoneticPr fontId="3" type="noConversion"/>
  </si>
  <si>
    <r>
      <t xml:space="preserve"> </t>
    </r>
    <r>
      <rPr>
        <sz val="10"/>
        <rFont val="Segoe UI Symbol"/>
        <family val="3"/>
      </rPr>
      <t>◦</t>
    </r>
    <r>
      <rPr>
        <sz val="10"/>
        <rFont val="맑은 고딕"/>
        <family val="3"/>
        <charset val="129"/>
        <scheme val="minor"/>
      </rPr>
      <t xml:space="preserve"> 업무팀이 제출한 조서를 최종업무파일로 공식 인정함을 내규에 포함하였거나 전체 구성원에게 공지하였는지 확인하고, 최종업무파일이 제출(입고)된 일자를 기록하고 조서관리담당자가 실제 입고여부를 확인하여 서명한 내역이 있는지 점검 </t>
    </r>
    <phoneticPr fontId="3" type="noConversion"/>
  </si>
  <si>
    <r>
      <t xml:space="preserve"> </t>
    </r>
    <r>
      <rPr>
        <sz val="10"/>
        <rFont val="Segoe UI Symbol"/>
        <family val="3"/>
      </rPr>
      <t>◦</t>
    </r>
    <r>
      <rPr>
        <sz val="10"/>
        <rFont val="맑은 고딕"/>
        <family val="3"/>
        <charset val="129"/>
        <scheme val="minor"/>
      </rPr>
      <t xml:space="preserve"> 기한 초과 등 예외사항에 대한 penalty가 있는지 점검</t>
    </r>
    <phoneticPr fontId="3" type="noConversion"/>
  </si>
  <si>
    <r>
      <t xml:space="preserve"> </t>
    </r>
    <r>
      <rPr>
        <sz val="10"/>
        <rFont val="Segoe UI Symbol"/>
        <family val="3"/>
      </rPr>
      <t xml:space="preserve">◦ </t>
    </r>
    <r>
      <rPr>
        <sz val="10"/>
        <rFont val="맑은 고딕"/>
        <family val="3"/>
        <charset val="129"/>
        <scheme val="minor"/>
      </rPr>
      <t>기한을 초과하여 최종업무파일이 취합된 사례가 있는지 점검</t>
    </r>
    <phoneticPr fontId="3" type="noConversion"/>
  </si>
  <si>
    <r>
      <t xml:space="preserve"> </t>
    </r>
    <r>
      <rPr>
        <sz val="10"/>
        <rFont val="Segoe UI Symbol"/>
        <family val="3"/>
      </rPr>
      <t>◦</t>
    </r>
    <r>
      <rPr>
        <sz val="10"/>
        <rFont val="맑은 고딕"/>
        <family val="3"/>
        <charset val="129"/>
        <scheme val="minor"/>
      </rPr>
      <t xml:space="preserve"> 감사업무에서 모든 업무파일이 취합되는지 점검(일부 업무파일이 개인 PC에 보관되는 경우 등)</t>
    </r>
    <phoneticPr fontId="3" type="noConversion"/>
  </si>
  <si>
    <t>3. 감사인은 조서 취합 후 입고 절차에 따라 감사업무의 최종업무 파일이 취합완료기한내 입고되고 있는가?</t>
    <phoneticPr fontId="3" type="noConversion"/>
  </si>
  <si>
    <t>4. 지점 및 분사무소가 있는 경우, 일원화된 정책과 절차를 적용하고 그에 대한 모니터링이 적절히 실시되고 있는가?</t>
    <phoneticPr fontId="3" type="noConversion"/>
  </si>
  <si>
    <t>감사조서 보존∙관리</t>
    <phoneticPr fontId="3" type="noConversion"/>
  </si>
  <si>
    <t>1. 감사인은 업무문서의 비밀유지, 안전한 보관, 완전성, 접근성 및 재생가능성을 유지할 수 있도록 정책과 절차를 설계·운영하고 있는가?</t>
    <phoneticPr fontId="3" type="noConversion"/>
  </si>
  <si>
    <r>
      <t xml:space="preserve"> </t>
    </r>
    <r>
      <rPr>
        <sz val="10"/>
        <rFont val="Segoe UI Symbol"/>
        <family val="3"/>
      </rPr>
      <t>◦</t>
    </r>
    <r>
      <rPr>
        <sz val="10"/>
        <rFont val="맑은 고딕"/>
        <family val="3"/>
        <charset val="129"/>
        <scheme val="minor"/>
      </rPr>
      <t xml:space="preserve"> 감사조서는 시건장치가 있는 별도장소에 보관되는지 확인    
    (감사조서의 보안유지, 안전보관을 위한 적합한 절차의 수행)</t>
    </r>
    <phoneticPr fontId="3" type="noConversion"/>
  </si>
  <si>
    <t xml:space="preserve">    - 감사팀 또는 담당이사 별로 조서를 개별보관하고 있는 사례가 있는지 점검   </t>
    <phoneticPr fontId="3" type="noConversion"/>
  </si>
  <si>
    <t>1. 감사인은 감사인의 필요나 법규의 요구사항을 충족할 수 있는 충분한 기간 동안 업무문서를 보존하는 정책과 절차를 설계·운영하고 있는가?</t>
    <phoneticPr fontId="3" type="noConversion"/>
  </si>
  <si>
    <r>
      <t xml:space="preserve"> </t>
    </r>
    <r>
      <rPr>
        <sz val="10"/>
        <rFont val="Segoe UI Symbol"/>
        <family val="3"/>
      </rPr>
      <t>◦</t>
    </r>
    <r>
      <rPr>
        <sz val="10"/>
        <rFont val="맑은 고딕"/>
        <family val="3"/>
        <charset val="129"/>
        <scheme val="minor"/>
      </rPr>
      <t xml:space="preserve"> 각 감사조서 보관장소별로 보관된 감사조서 리스트와 조서수량 및 보존기간 등을 기재한 감사조서 관리대장 유지 확인 (감사조서의 일정기간 보존을 위한 적합한 절차의 수행)</t>
    </r>
    <phoneticPr fontId="3" type="noConversion"/>
  </si>
  <si>
    <r>
      <t xml:space="preserve"> </t>
    </r>
    <r>
      <rPr>
        <sz val="10"/>
        <rFont val="Segoe UI Symbol"/>
        <family val="3"/>
      </rPr>
      <t>◦</t>
    </r>
    <r>
      <rPr>
        <sz val="10"/>
        <rFont val="맑은 고딕"/>
        <family val="3"/>
        <charset val="129"/>
        <scheme val="minor"/>
      </rPr>
      <t xml:space="preserve"> 조서관리대장이 조서총수, 조서종류, 관리번호 등 실물조서와 대응되도록 작성되는지 확인</t>
    </r>
    <phoneticPr fontId="3" type="noConversion"/>
  </si>
  <si>
    <t xml:space="preserve">    - 실물조서와 관리대장의 조서수량이 일치하지 않은 사례가 있는지 점검</t>
    <phoneticPr fontId="3" type="noConversion"/>
  </si>
  <si>
    <t xml:space="preserve">    - 단순히 연도별 감사보고서명과 관리번호만 기재되어 실질적인 관리대장으로 볼 수 없는 경우가 있는지 점검</t>
    <phoneticPr fontId="3" type="noConversion"/>
  </si>
  <si>
    <t xml:space="preserve">    - 조서관리대장이 8년간 유지되지 않고 일부만 작성되는 경우가 있는지 점검(최근연도만 작성되거나, 특정 주책임자 또는 특정 사업부의 감사조서 전부가 누락된 경우 등)</t>
    <phoneticPr fontId="3" type="noConversion"/>
  </si>
  <si>
    <t>2. 감사인은 폐기대장 및 입출고관리대장을 유지하는 정책과 절차를 설계·운영하고 있는가?</t>
    <phoneticPr fontId="3" type="noConversion"/>
  </si>
  <si>
    <r>
      <t xml:space="preserve"> </t>
    </r>
    <r>
      <rPr>
        <sz val="10"/>
        <rFont val="Segoe UI Symbol"/>
        <family val="3"/>
      </rPr>
      <t>◦</t>
    </r>
    <r>
      <rPr>
        <sz val="10"/>
        <rFont val="맑은 고딕"/>
        <family val="3"/>
        <charset val="129"/>
        <scheme val="minor"/>
      </rPr>
      <t xml:space="preserve"> 폐기대장(폐기일자 관리) 및 입출고관리대장을 유지하고 있는지 확인</t>
    </r>
    <phoneticPr fontId="3" type="noConversion"/>
  </si>
  <si>
    <r>
      <t xml:space="preserve"> </t>
    </r>
    <r>
      <rPr>
        <sz val="10"/>
        <rFont val="Segoe UI Symbol"/>
        <family val="3"/>
      </rPr>
      <t>◦</t>
    </r>
    <r>
      <rPr>
        <sz val="10"/>
        <rFont val="맑은 고딕"/>
        <family val="3"/>
        <charset val="129"/>
        <scheme val="minor"/>
      </rPr>
      <t xml:space="preserve"> 입출고관리는 적시성 있게 수행되고 있는지 여부 점검 
     (예, 장기미입고 조서 존재, 입출고기록이 누락된 사례 등)</t>
    </r>
    <phoneticPr fontId="3" type="noConversion"/>
  </si>
  <si>
    <t>(4) 모니터링</t>
    <phoneticPr fontId="3" type="noConversion"/>
  </si>
  <si>
    <t xml:space="preserve"> ◦ 사후 심리 대상 선정기준 적정성 점검(이사별 업무 점검 여부 포함)</t>
  </si>
  <si>
    <t>사후심리 관련 정책과 절차</t>
    <phoneticPr fontId="3" type="noConversion"/>
  </si>
  <si>
    <t>1. 감사인은 종결된 감사업무에 대한 모니터링(사후심리) 정책과 절차를 설계·운영하고 있는가?</t>
    <phoneticPr fontId="3" type="noConversion"/>
  </si>
  <si>
    <t xml:space="preserve"> ◦ 법규 및 내규 위반사항이 발견된 경우 실효성 있는 징계절차 등을 실시하였는지 점검</t>
  </si>
  <si>
    <t xml:space="preserve"> ◦ 사후심리결과를 종합 분석하여 구성원들에게 전파(교육)하는지 점검</t>
  </si>
  <si>
    <r>
      <t xml:space="preserve"> </t>
    </r>
    <r>
      <rPr>
        <sz val="10"/>
        <color rgb="FF000000"/>
        <rFont val="Segoe UI Symbol"/>
        <family val="3"/>
      </rPr>
      <t>◦</t>
    </r>
    <r>
      <rPr>
        <sz val="10"/>
        <color rgb="FF000000"/>
        <rFont val="맑은 고딕"/>
        <family val="3"/>
        <charset val="129"/>
        <scheme val="minor"/>
      </rPr>
      <t xml:space="preserve"> 적절한 기한내에 중요 감사절차 미비점을 수정·보완하도록 하고 이를 확인하고 있는지 점검 (모니터링 담당자는 모니터링 결과를 대표이사에게 보고 하는가?)</t>
    </r>
    <phoneticPr fontId="3" type="noConversion"/>
  </si>
  <si>
    <t>1. 품질관리업무 전담자는 매년 12월 1일부터 다음해 3월 31일까지 세무조정관련 업무 이외에 다른 직무를 수행하지 않았는가?</t>
    <phoneticPr fontId="3" type="noConversion"/>
  </si>
  <si>
    <t xml:space="preserve"> - 직전 사업연도 회계기간 중에 결산일이 도래하는 외부감사법 감사대상 회사가 100개 이상인 경우</t>
    <phoneticPr fontId="3" type="noConversion"/>
  </si>
  <si>
    <t>1. 다음에 해당하는 회계법인인가?</t>
    <phoneticPr fontId="3" type="noConversion"/>
  </si>
  <si>
    <t>2. 상기 이외의 기간에는 품질관리업무와 이해상충되거나 충실성을 저해할 위험이 없는 범위내에서만 다른 직무를 수행하였는가?</t>
    <phoneticPr fontId="3" type="noConversion"/>
  </si>
  <si>
    <t>1.품질관리책임자는 품질관리전담자의 품질관리업무를 충분한 시간을 투입하여 관리·감독하였는가?</t>
    <phoneticPr fontId="3" type="noConversion"/>
  </si>
  <si>
    <t>감사보고서 발행 통제</t>
    <phoneticPr fontId="3" type="noConversion"/>
  </si>
  <si>
    <t xml:space="preserve">   (관련규정 : 감사인 등의 조직 및 운영 등에 관한 규정 제17조 제6항부터 제8항까지&lt;'24.1.1. 시행&gt;)</t>
    <phoneticPr fontId="3" type="noConversion"/>
  </si>
  <si>
    <t xml:space="preserve">  ð 아래 항목을 점검한 결과 위반사항이 있는 경우에는 대표이사로부터  별도의 확인서를 징구하여야 함 (윤조위 이첩 예정)</t>
    <phoneticPr fontId="3" type="noConversion"/>
  </si>
  <si>
    <t>감사시간 관리절차</t>
    <phoneticPr fontId="2" type="noConversion"/>
  </si>
  <si>
    <r>
      <rPr>
        <sz val="12"/>
        <color rgb="FF000000"/>
        <rFont val="Segoe UI Symbol"/>
        <family val="3"/>
      </rPr>
      <t>◦</t>
    </r>
    <r>
      <rPr>
        <sz val="12"/>
        <color rgb="FF000000"/>
        <rFont val="맑은 고딕"/>
        <family val="3"/>
        <charset val="129"/>
        <scheme val="minor"/>
      </rPr>
      <t xml:space="preserve"> 감사시간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집계</t>
    </r>
    <r>
      <rPr>
        <sz val="12"/>
        <color rgb="FF000000"/>
        <rFont val="Calibri"/>
        <family val="3"/>
      </rPr>
      <t>·</t>
    </r>
    <r>
      <rPr>
        <sz val="12"/>
        <color rgb="FF000000"/>
        <rFont val="맑은 고딕"/>
        <family val="3"/>
        <charset val="129"/>
        <scheme val="minor"/>
      </rPr>
      <t>검증시스템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구축</t>
    </r>
    <r>
      <rPr>
        <sz val="12"/>
        <color rgb="FF000000"/>
        <rFont val="Calibri"/>
        <family val="3"/>
      </rPr>
      <t>·</t>
    </r>
    <r>
      <rPr>
        <sz val="12"/>
        <color rgb="FF000000"/>
        <rFont val="맑은 고딕"/>
        <family val="3"/>
        <charset val="129"/>
        <scheme val="minor"/>
      </rPr>
      <t>운영</t>
    </r>
    <phoneticPr fontId="2" type="noConversion"/>
  </si>
  <si>
    <r>
      <rPr>
        <sz val="12"/>
        <color rgb="FF000000"/>
        <rFont val="Segoe UI Symbol"/>
        <family val="3"/>
      </rPr>
      <t>◦</t>
    </r>
    <r>
      <rPr>
        <sz val="12"/>
        <color rgb="FF000000"/>
        <rFont val="맑은 고딕"/>
        <family val="3"/>
        <charset val="129"/>
        <scheme val="minor"/>
      </rPr>
      <t xml:space="preserve"> 감사시간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모니터링</t>
    </r>
    <phoneticPr fontId="3" type="noConversion"/>
  </si>
  <si>
    <r>
      <rPr>
        <sz val="12"/>
        <color rgb="FF000000"/>
        <rFont val="Segoe UI Symbol"/>
        <family val="3"/>
      </rPr>
      <t>◦</t>
    </r>
    <r>
      <rPr>
        <sz val="12"/>
        <color rgb="FF000000"/>
        <rFont val="맑은 고딕"/>
        <family val="3"/>
        <charset val="129"/>
        <scheme val="minor"/>
      </rPr>
      <t xml:space="preserve"> 업무품질관리검토절차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수립과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업무배정</t>
    </r>
    <phoneticPr fontId="2" type="noConversion"/>
  </si>
  <si>
    <r>
      <rPr>
        <sz val="12"/>
        <color rgb="FF000000"/>
        <rFont val="Segoe UI Symbol"/>
        <family val="3"/>
      </rPr>
      <t>◦</t>
    </r>
    <r>
      <rPr>
        <sz val="12"/>
        <color rgb="FF000000"/>
        <rFont val="맑은 고딕"/>
        <family val="3"/>
        <charset val="129"/>
        <scheme val="minor"/>
      </rPr>
      <t xml:space="preserve"> 사전심리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수행과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해결사항의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문서화</t>
    </r>
    <phoneticPr fontId="2" type="noConversion"/>
  </si>
  <si>
    <r>
      <rPr>
        <sz val="12"/>
        <color rgb="FF000000"/>
        <rFont val="Segoe UI Symbol"/>
        <family val="3"/>
      </rPr>
      <t>◦</t>
    </r>
    <r>
      <rPr>
        <sz val="12"/>
        <color rgb="FF000000"/>
        <rFont val="맑은 고딕"/>
        <family val="3"/>
        <charset val="129"/>
        <scheme val="minor"/>
      </rPr>
      <t xml:space="preserve"> 감사보고서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발행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통제</t>
    </r>
    <phoneticPr fontId="2" type="noConversion"/>
  </si>
  <si>
    <t>감사조서 작성∙관리절차</t>
    <phoneticPr fontId="2" type="noConversion"/>
  </si>
  <si>
    <r>
      <rPr>
        <sz val="12"/>
        <color rgb="FF000000"/>
        <rFont val="Segoe UI Symbol"/>
        <family val="3"/>
      </rPr>
      <t>◦</t>
    </r>
    <r>
      <rPr>
        <sz val="12"/>
        <color rgb="FF000000"/>
        <rFont val="맑은 고딕"/>
        <family val="3"/>
        <charset val="129"/>
        <scheme val="minor"/>
      </rPr>
      <t xml:space="preserve"> 감사조서 보존</t>
    </r>
    <r>
      <rPr>
        <sz val="12"/>
        <color rgb="FF000000"/>
        <rFont val="Calibri"/>
        <family val="3"/>
      </rPr>
      <t>·</t>
    </r>
    <r>
      <rPr>
        <sz val="12"/>
        <color rgb="FF000000"/>
        <rFont val="맑은 고딕"/>
        <family val="3"/>
        <charset val="129"/>
        <scheme val="minor"/>
      </rPr>
      <t>관리</t>
    </r>
    <phoneticPr fontId="2" type="noConversion"/>
  </si>
  <si>
    <r>
      <rPr>
        <sz val="12"/>
        <color rgb="FF000000"/>
        <rFont val="Segoe UI Symbol"/>
        <family val="3"/>
      </rPr>
      <t>◦</t>
    </r>
    <r>
      <rPr>
        <sz val="12"/>
        <color rgb="FF000000"/>
        <rFont val="맑은 고딕"/>
        <family val="3"/>
        <charset val="129"/>
        <scheme val="minor"/>
      </rPr>
      <t xml:space="preserve"> 사후심리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관련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정책과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절차</t>
    </r>
    <phoneticPr fontId="3" type="noConversion"/>
  </si>
  <si>
    <t>B</t>
  </si>
  <si>
    <t>A</t>
  </si>
  <si>
    <t>A</t>
    <phoneticPr fontId="2" type="noConversion"/>
  </si>
  <si>
    <t>(2) 업무의 수행</t>
    <phoneticPr fontId="3" type="noConversion"/>
  </si>
  <si>
    <t>(3) 모니터링</t>
    <phoneticPr fontId="3" type="noConversion"/>
  </si>
  <si>
    <t xml:space="preserve">                   대표이사   이   선   생</t>
    <phoneticPr fontId="3" type="noConversion"/>
  </si>
  <si>
    <t xml:space="preserve">감사시간 관리절차
</t>
    <phoneticPr fontId="3" type="noConversion"/>
  </si>
  <si>
    <t xml:space="preserve">    - 감사조서가 시건장치가 없거나 관리가 되지 않은 장소(조서관리 담당자로 지정되지 않은 자가 접근가능한 장소)에 보관되고 있는 사례가 있는지 점검   </t>
    <phoneticPr fontId="3" type="noConversion"/>
  </si>
  <si>
    <r>
      <t xml:space="preserve"> </t>
    </r>
    <r>
      <rPr>
        <sz val="10"/>
        <rFont val="Segoe UI Symbol"/>
        <family val="3"/>
      </rPr>
      <t>◦</t>
    </r>
    <r>
      <rPr>
        <sz val="10"/>
        <rFont val="맑은 고딕"/>
        <family val="3"/>
        <charset val="129"/>
        <scheme val="minor"/>
      </rPr>
      <t xml:space="preserve"> 감사조서를 주기적으로 실사하고 실사내역을 문서화하는 절차가 있는지 점검</t>
    </r>
    <phoneticPr fontId="3" type="noConversion"/>
  </si>
  <si>
    <t xml:space="preserve"> ◦ 구성원의 업무량과 가용시간 등을 모니터링하는 절차의 수행 여부 점검 </t>
  </si>
  <si>
    <t>최종 감사파일 취합과 조서관리담당자 지정</t>
    <phoneticPr fontId="3" type="noConversion"/>
  </si>
  <si>
    <t>모니터링(사후심리)</t>
    <phoneticPr fontId="3" type="noConversion"/>
  </si>
  <si>
    <t>감사조서 관리대장 작성과 유지</t>
    <phoneticPr fontId="3" type="noConversion"/>
  </si>
  <si>
    <t xml:space="preserve">모니터링(사후심리)
</t>
    <phoneticPr fontId="3" type="noConversion"/>
  </si>
  <si>
    <t>모니터링(사후심리)</t>
    <phoneticPr fontId="2" type="noConversion"/>
  </si>
  <si>
    <r>
      <rPr>
        <sz val="12"/>
        <color rgb="FF000000"/>
        <rFont val="Segoe UI Symbol"/>
        <family val="3"/>
      </rPr>
      <t>◦</t>
    </r>
    <r>
      <rPr>
        <sz val="12"/>
        <color rgb="FF000000"/>
        <rFont val="맑은 고딕"/>
        <family val="3"/>
        <charset val="129"/>
        <scheme val="minor"/>
      </rPr>
      <t xml:space="preserve"> 최종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감사파일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취합과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조서관리담당자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지정</t>
    </r>
    <phoneticPr fontId="2" type="noConversion"/>
  </si>
  <si>
    <r>
      <rPr>
        <sz val="12"/>
        <color rgb="FF000000"/>
        <rFont val="Segoe UI Symbol"/>
        <family val="3"/>
      </rPr>
      <t>◦</t>
    </r>
    <r>
      <rPr>
        <sz val="12"/>
        <color rgb="FF000000"/>
        <rFont val="맑은 고딕"/>
        <family val="3"/>
        <charset val="129"/>
        <scheme val="minor"/>
      </rPr>
      <t xml:space="preserve"> 감사조서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관리대장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작성과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유지</t>
    </r>
    <phoneticPr fontId="2" type="noConversion"/>
  </si>
  <si>
    <r>
      <rPr>
        <sz val="12"/>
        <color rgb="FF000000"/>
        <rFont val="Segoe UI Symbol"/>
        <family val="3"/>
      </rPr>
      <t>◦</t>
    </r>
    <r>
      <rPr>
        <sz val="12"/>
        <color rgb="FF000000"/>
        <rFont val="맑은 고딕"/>
        <family val="3"/>
        <charset val="129"/>
        <scheme val="minor"/>
      </rPr>
      <t xml:space="preserve"> 기타 감사조서의 문서화</t>
    </r>
    <phoneticPr fontId="3" type="noConversion"/>
  </si>
  <si>
    <r>
      <rPr>
        <sz val="12"/>
        <color rgb="FF000000"/>
        <rFont val="Segoe UI Symbol"/>
        <family val="3"/>
      </rPr>
      <t>◦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그룹감사업무 수행시 감사계획 수립과 독립성 확인절차</t>
    </r>
    <phoneticPr fontId="3" type="noConversion"/>
  </si>
  <si>
    <t>업무의 수행</t>
    <phoneticPr fontId="2" type="noConversion"/>
  </si>
  <si>
    <t>업무품질관리검토절차 수립과
업무배정</t>
    <phoneticPr fontId="3" type="noConversion"/>
  </si>
  <si>
    <t>감사조서 관리대장 작성과 유지
(입출고, 폐기 등 포함)</t>
    <phoneticPr fontId="3" type="noConversion"/>
  </si>
  <si>
    <t>(3) 인적자원</t>
    <phoneticPr fontId="3" type="noConversion"/>
  </si>
  <si>
    <t>최종 감사파일 취합과
조서관리담당자 지정</t>
    <phoneticPr fontId="3" type="noConversion"/>
  </si>
  <si>
    <r>
      <t xml:space="preserve"> </t>
    </r>
    <r>
      <rPr>
        <sz val="10"/>
        <color rgb="FF000000"/>
        <rFont val="Segoe UI Symbol"/>
        <family val="3"/>
      </rPr>
      <t>◦</t>
    </r>
    <r>
      <rPr>
        <sz val="10"/>
        <color indexed="8"/>
        <rFont val="맑은 고딕"/>
        <family val="3"/>
        <charset val="129"/>
        <scheme val="minor"/>
      </rPr>
      <t xml:space="preserve"> 감사시간 집계관리 시스템 적절성 점검 (수작업(엑셀 등)/ 전산(ERP)시스템)
    (시스템명, 입력주기(승인) 단위, 승인 후 임의수정 가능여부)</t>
    </r>
    <phoneticPr fontId="3" type="noConversion"/>
  </si>
  <si>
    <r>
      <rPr>
        <b/>
        <sz val="10"/>
        <color rgb="FF000000"/>
        <rFont val="맑은 고딕"/>
        <family val="3"/>
        <charset val="129"/>
        <scheme val="minor"/>
      </rPr>
      <t>1. 경력기간</t>
    </r>
    <r>
      <rPr>
        <b/>
        <vertAlign val="superscript"/>
        <sz val="10"/>
        <color rgb="FF000000"/>
        <rFont val="맑은 고딕"/>
        <family val="3"/>
        <charset val="129"/>
        <scheme val="minor"/>
      </rPr>
      <t>*</t>
    </r>
    <r>
      <rPr>
        <b/>
        <sz val="10"/>
        <color rgb="FF000000"/>
        <rFont val="맑은 고딕"/>
        <family val="3"/>
        <charset val="129"/>
        <scheme val="minor"/>
      </rPr>
      <t xml:space="preserve"> 5년 이상인 소속공인회계사 중 1인 이상이 품질관리업무를 전담하고 있는가?</t>
    </r>
    <r>
      <rPr>
        <sz val="10"/>
        <color indexed="8"/>
        <rFont val="맑은 고딕"/>
        <family val="3"/>
        <charset val="129"/>
        <scheme val="minor"/>
      </rPr>
      <t xml:space="preserve">
 * 경력기간 : 외부감사법 제9조제4항에 따른 </t>
    </r>
    <r>
      <rPr>
        <b/>
        <sz val="10"/>
        <color rgb="FF000000"/>
        <rFont val="맑은 고딕"/>
        <family val="3"/>
        <charset val="129"/>
        <scheme val="minor"/>
      </rPr>
      <t>실무수습을 이수한 이후</t>
    </r>
    <r>
      <rPr>
        <sz val="10"/>
        <color indexed="8"/>
        <rFont val="맑은 고딕"/>
        <family val="3"/>
        <charset val="129"/>
        <scheme val="minor"/>
      </rPr>
      <t>에 회계처리 또는 외부감사 업무를 수행한 기간</t>
    </r>
    <phoneticPr fontId="3" type="noConversion"/>
  </si>
  <si>
    <t>2025년 4월 1일부터 2026년 3월 31일까지의 ㅇㅇ회계법인에 대한 감사 등</t>
    <phoneticPr fontId="3" type="noConversion"/>
  </si>
  <si>
    <t xml:space="preserve">                   2026 년   10 월   X 일</t>
    <phoneticPr fontId="3" type="noConversion"/>
  </si>
  <si>
    <t>(1) 업무의 수행</t>
    <phoneticPr fontId="3" type="noConversion"/>
  </si>
  <si>
    <t>사후심리결과에 대한 관리</t>
    <phoneticPr fontId="3" type="noConversion"/>
  </si>
  <si>
    <r>
      <rPr>
        <sz val="12"/>
        <color rgb="FF000000"/>
        <rFont val="Segoe UI Symbol"/>
        <family val="3"/>
      </rPr>
      <t>◦</t>
    </r>
    <r>
      <rPr>
        <sz val="12"/>
        <color rgb="FF000000"/>
        <rFont val="맑은 고딕"/>
        <family val="3"/>
        <charset val="129"/>
        <scheme val="minor"/>
      </rPr>
      <t xml:space="preserve"> 사후심리결과에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대한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관리</t>
    </r>
    <phoneticPr fontId="3" type="noConversion"/>
  </si>
  <si>
    <t>1. 감사인은 사후심리 결과 발견된 미비점에 대한 관리절차를 적절히 운영하고 있는가?</t>
    <phoneticPr fontId="3" type="noConversion"/>
  </si>
  <si>
    <t>품질관리예산</t>
    <phoneticPr fontId="3" type="noConversion"/>
  </si>
  <si>
    <t>예) 품질관리실장은 월 xx백만원 
     본부별 품질관리요원은 사전심리 회사 건별 x십만원, 
     본부별 상호 peer review는 별도 지급없음(형식적 수행)</t>
    <phoneticPr fontId="3" type="noConversion"/>
  </si>
  <si>
    <t>ㅇㅇ회계법인 출신의 50대초반 1인(ㅇㅇㅇ)과 Big4출신의 40대초반 1인(ㅇㅇㅇ)</t>
    <phoneticPr fontId="3" type="noConversion"/>
  </si>
  <si>
    <r>
      <t xml:space="preserve"> </t>
    </r>
    <r>
      <rPr>
        <sz val="10"/>
        <rFont val="Segoe UI Symbol"/>
        <family val="3"/>
      </rPr>
      <t>◦</t>
    </r>
    <r>
      <rPr>
        <sz val="10"/>
        <rFont val="맑은 고딕"/>
        <family val="3"/>
        <charset val="129"/>
        <scheme val="minor"/>
      </rPr>
      <t xml:space="preserve"> 사후 심리 결과 문서화 여부 점검(사후 심리 체크리스트 구비여부 점검 포함, 형식적인 코멘트 말고 실질적인 리뷰가 이루어졌는지 점검)</t>
    </r>
    <phoneticPr fontId="3" type="noConversion"/>
  </si>
  <si>
    <r>
      <t xml:space="preserve"> </t>
    </r>
    <r>
      <rPr>
        <sz val="10"/>
        <rFont val="Segoe UI Symbol"/>
        <family val="3"/>
      </rPr>
      <t>◦</t>
    </r>
    <r>
      <rPr>
        <sz val="10"/>
        <rFont val="맑은 고딕"/>
        <family val="3"/>
        <charset val="129"/>
        <scheme val="minor"/>
      </rPr>
      <t xml:space="preserve"> 사후 심리담당자 적격성 및 객관성 점검(사후심리담당자와 사전심리담당자 중복여부 포함)</t>
    </r>
    <phoneticPr fontId="3" type="noConversion"/>
  </si>
  <si>
    <t>예) 
ㅇㅇ회계법인 출신의 50대초반 1인(ㅇㅇㅇ)과 Big4출신의 40대초반 1인(ㅇㅇㅇ)
품질관리실장 및 총무는 이사들이 rotation하며 수행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</si>
</sst>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%"/>
    <numFmt numFmtId="177" formatCode="\(0.0\)"/>
    <numFmt numFmtId="178" formatCode="#,##0_);[Red]\(#,##0\);\-"/>
    <numFmt numFmtId="179" formatCode="#,##0_);[Red]\(#,##0\);\-_;"/>
  </numFmts>
  <fonts count="6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체"/>
      <family val="3"/>
      <charset val="129"/>
    </font>
    <font>
      <b/>
      <sz val="10"/>
      <color indexed="8"/>
      <name val="돋움체"/>
      <family val="3"/>
      <charset val="129"/>
    </font>
    <font>
      <b/>
      <sz val="10"/>
      <name val="돋움체"/>
      <family val="3"/>
      <charset val="129"/>
    </font>
    <font>
      <sz val="11"/>
      <name val="돋움"/>
      <family val="3"/>
      <charset val="129"/>
    </font>
    <font>
      <b/>
      <sz val="12"/>
      <name val="돋움"/>
      <family val="3"/>
      <charset val="129"/>
    </font>
    <font>
      <b/>
      <sz val="11"/>
      <name val="돋움"/>
      <family val="3"/>
      <charset val="129"/>
    </font>
    <font>
      <b/>
      <sz val="10"/>
      <name val="바탕"/>
      <family val="1"/>
      <charset val="129"/>
    </font>
    <font>
      <sz val="10"/>
      <name val="돋움체"/>
      <family val="3"/>
      <charset val="129"/>
    </font>
    <font>
      <sz val="11"/>
      <name val="바탕"/>
      <family val="1"/>
      <charset val="129"/>
    </font>
    <font>
      <b/>
      <vertAlign val="superscript"/>
      <sz val="10"/>
      <name val="바탕"/>
      <family val="1"/>
      <charset val="129"/>
    </font>
    <font>
      <sz val="11"/>
      <color indexed="10"/>
      <name val="돋움"/>
      <family val="3"/>
      <charset val="129"/>
    </font>
    <font>
      <b/>
      <vertAlign val="superscript"/>
      <sz val="10"/>
      <name val="돋움체"/>
      <family val="3"/>
      <charset val="129"/>
    </font>
    <font>
      <b/>
      <sz val="10"/>
      <name val="맑은 고딕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5"/>
      <color indexed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indexed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u/>
      <sz val="14"/>
      <name val="맑은 고딕"/>
      <family val="3"/>
      <charset val="129"/>
      <scheme val="minor"/>
    </font>
    <font>
      <b/>
      <u/>
      <sz val="16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6"/>
      <color indexed="8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i/>
      <sz val="11"/>
      <name val="맑은 고딕"/>
      <family val="3"/>
      <charset val="129"/>
      <scheme val="minor"/>
    </font>
    <font>
      <sz val="10"/>
      <color rgb="FF000000"/>
      <name val="Segoe UI Symbol"/>
      <family val="3"/>
    </font>
    <font>
      <sz val="10"/>
      <color rgb="FF000000"/>
      <name val="Calibri"/>
      <family val="3"/>
    </font>
    <font>
      <sz val="10"/>
      <name val="Segoe UI Symbol"/>
      <family val="3"/>
    </font>
    <font>
      <sz val="12"/>
      <color rgb="FF000000"/>
      <name val="맑은 고딕"/>
      <family val="3"/>
      <charset val="129"/>
      <scheme val="minor"/>
    </font>
    <font>
      <sz val="12"/>
      <color rgb="FF000000"/>
      <name val="Segoe UI Symbol"/>
      <family val="3"/>
    </font>
    <font>
      <sz val="12"/>
      <color rgb="FF000000"/>
      <name val="Calibri"/>
      <family val="3"/>
    </font>
    <font>
      <b/>
      <sz val="12"/>
      <color rgb="FF000000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vertAlign val="superscript"/>
      <sz val="10"/>
      <color rgb="FF000000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4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/>
    <xf numFmtId="0" fontId="7" fillId="0" borderId="0"/>
  </cellStyleXfs>
  <cellXfs count="333">
    <xf numFmtId="0" fontId="0" fillId="0" borderId="0" xfId="0">
      <alignment vertical="center"/>
    </xf>
    <xf numFmtId="0" fontId="4" fillId="0" borderId="0" xfId="0" applyFont="1" applyProtection="1">
      <alignment vertical="center"/>
      <protection locked="0"/>
    </xf>
    <xf numFmtId="0" fontId="8" fillId="0" borderId="0" xfId="0" applyFont="1" applyAlignment="1"/>
    <xf numFmtId="0" fontId="0" fillId="0" borderId="0" xfId="0" applyAlignment="1"/>
    <xf numFmtId="0" fontId="9" fillId="0" borderId="0" xfId="0" applyFont="1" applyAlignment="1"/>
    <xf numFmtId="0" fontId="6" fillId="6" borderId="22" xfId="0" applyFont="1" applyFill="1" applyBorder="1" applyAlignment="1" applyProtection="1">
      <alignment horizontal="center" vertical="center" wrapText="1"/>
      <protection locked="0"/>
    </xf>
    <xf numFmtId="0" fontId="6" fillId="6" borderId="13" xfId="0" applyFont="1" applyFill="1" applyBorder="1" applyAlignment="1" applyProtection="1">
      <alignment horizontal="center" vertical="center" wrapText="1"/>
      <protection locked="0"/>
    </xf>
    <xf numFmtId="0" fontId="6" fillId="6" borderId="34" xfId="0" applyFont="1" applyFill="1" applyBorder="1" applyAlignment="1" applyProtection="1">
      <alignment horizontal="center" vertical="center" wrapText="1"/>
      <protection locked="0"/>
    </xf>
    <xf numFmtId="0" fontId="6" fillId="6" borderId="13" xfId="0" applyFont="1" applyFill="1" applyBorder="1" applyAlignment="1" applyProtection="1">
      <alignment horizontal="center" vertical="center"/>
      <protection locked="0"/>
    </xf>
    <xf numFmtId="0" fontId="10" fillId="6" borderId="13" xfId="3" applyFont="1" applyFill="1" applyBorder="1" applyAlignment="1">
      <alignment horizontal="center" vertical="center" wrapText="1"/>
    </xf>
    <xf numFmtId="0" fontId="10" fillId="6" borderId="34" xfId="3" applyFont="1" applyFill="1" applyBorder="1" applyAlignment="1">
      <alignment horizontal="center" vertical="center" wrapText="1"/>
    </xf>
    <xf numFmtId="0" fontId="0" fillId="5" borderId="90" xfId="0" applyFill="1" applyBorder="1" applyAlignment="1">
      <alignment horizontal="center" vertical="center"/>
    </xf>
    <xf numFmtId="0" fontId="11" fillId="5" borderId="4" xfId="0" applyFont="1" applyFill="1" applyBorder="1" applyAlignment="1" applyProtection="1">
      <alignment horizontal="center" vertical="center" wrapText="1"/>
      <protection locked="0"/>
    </xf>
    <xf numFmtId="0" fontId="11" fillId="5" borderId="2" xfId="0" applyFont="1" applyFill="1" applyBorder="1" applyAlignment="1" applyProtection="1">
      <alignment horizontal="center" vertical="center" wrapText="1"/>
      <protection locked="0"/>
    </xf>
    <xf numFmtId="0" fontId="11" fillId="5" borderId="5" xfId="0" applyFont="1" applyFill="1" applyBorder="1" applyAlignment="1" applyProtection="1">
      <alignment horizontal="center" vertical="center" wrapText="1"/>
      <protection locked="0"/>
    </xf>
    <xf numFmtId="0" fontId="0" fillId="5" borderId="3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6" fillId="5" borderId="1" xfId="0" applyFont="1" applyFill="1" applyBorder="1" applyAlignment="1" applyProtection="1">
      <alignment horizontal="center" vertical="center" wrapText="1"/>
      <protection locked="0"/>
    </xf>
    <xf numFmtId="0" fontId="4" fillId="5" borderId="0" xfId="0" applyFont="1" applyFill="1" applyProtection="1">
      <alignment vertical="center"/>
      <protection locked="0"/>
    </xf>
    <xf numFmtId="0" fontId="12" fillId="0" borderId="0" xfId="3" applyFont="1"/>
    <xf numFmtId="0" fontId="0" fillId="5" borderId="0" xfId="0" applyFill="1" applyAlignment="1"/>
    <xf numFmtId="0" fontId="4" fillId="0" borderId="0" xfId="0" applyFont="1" applyAlignment="1" applyProtection="1">
      <alignment horizontal="left" vertical="center" wrapText="1"/>
      <protection locked="0"/>
    </xf>
    <xf numFmtId="0" fontId="6" fillId="6" borderId="13" xfId="0" applyFont="1" applyFill="1" applyBorder="1" applyAlignment="1" applyProtection="1">
      <alignment horizontal="justify" vertical="center" wrapText="1"/>
      <protection locked="0"/>
    </xf>
    <xf numFmtId="0" fontId="6" fillId="6" borderId="34" xfId="0" applyFont="1" applyFill="1" applyBorder="1" applyAlignment="1" applyProtection="1">
      <alignment horizontal="justify" vertical="center" wrapText="1"/>
      <protection locked="0"/>
    </xf>
    <xf numFmtId="0" fontId="0" fillId="5" borderId="2" xfId="0" applyFill="1" applyBorder="1" applyAlignment="1">
      <alignment vertical="center" wrapText="1"/>
    </xf>
    <xf numFmtId="0" fontId="0" fillId="5" borderId="57" xfId="0" applyFill="1" applyBorder="1" applyAlignment="1">
      <alignment vertical="center" wrapText="1"/>
    </xf>
    <xf numFmtId="0" fontId="0" fillId="5" borderId="15" xfId="0" applyFill="1" applyBorder="1" applyAlignment="1">
      <alignment vertical="center" wrapText="1"/>
    </xf>
    <xf numFmtId="0" fontId="22" fillId="0" borderId="0" xfId="0" applyFont="1">
      <alignment vertical="center"/>
    </xf>
    <xf numFmtId="0" fontId="23" fillId="2" borderId="1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176" fontId="27" fillId="3" borderId="18" xfId="0" applyNumberFormat="1" applyFont="1" applyFill="1" applyBorder="1" applyAlignment="1">
      <alignment horizontal="center" vertical="center" wrapText="1"/>
    </xf>
    <xf numFmtId="176" fontId="27" fillId="3" borderId="19" xfId="0" applyNumberFormat="1" applyFont="1" applyFill="1" applyBorder="1" applyAlignment="1">
      <alignment horizontal="center" vertical="center" wrapText="1"/>
    </xf>
    <xf numFmtId="0" fontId="26" fillId="0" borderId="27" xfId="0" applyFont="1" applyBorder="1" applyAlignment="1">
      <alignment vertical="center" wrapText="1"/>
    </xf>
    <xf numFmtId="0" fontId="21" fillId="0" borderId="0" xfId="0" applyFont="1">
      <alignment vertical="center"/>
    </xf>
    <xf numFmtId="0" fontId="30" fillId="3" borderId="33" xfId="0" applyFont="1" applyFill="1" applyBorder="1" applyAlignment="1">
      <alignment horizontal="center" vertical="center" wrapText="1"/>
    </xf>
    <xf numFmtId="0" fontId="26" fillId="0" borderId="36" xfId="0" applyFont="1" applyBorder="1" applyAlignment="1">
      <alignment vertical="center" wrapText="1"/>
    </xf>
    <xf numFmtId="178" fontId="28" fillId="3" borderId="37" xfId="0" applyNumberFormat="1" applyFont="1" applyFill="1" applyBorder="1" applyAlignment="1">
      <alignment horizontal="center" vertical="center" wrapText="1"/>
    </xf>
    <xf numFmtId="0" fontId="31" fillId="0" borderId="38" xfId="0" applyFont="1" applyBorder="1" applyAlignment="1">
      <alignment vertical="center" wrapText="1"/>
    </xf>
    <xf numFmtId="178" fontId="28" fillId="3" borderId="39" xfId="0" applyNumberFormat="1" applyFont="1" applyFill="1" applyBorder="1" applyAlignment="1">
      <alignment horizontal="center" vertical="center" wrapText="1"/>
    </xf>
    <xf numFmtId="0" fontId="26" fillId="0" borderId="38" xfId="0" applyFont="1" applyBorder="1" applyAlignment="1">
      <alignment vertical="center" wrapText="1"/>
    </xf>
    <xf numFmtId="178" fontId="28" fillId="3" borderId="40" xfId="0" applyNumberFormat="1" applyFont="1" applyFill="1" applyBorder="1" applyAlignment="1">
      <alignment horizontal="center" vertical="center" wrapText="1"/>
    </xf>
    <xf numFmtId="178" fontId="28" fillId="3" borderId="40" xfId="0" quotePrefix="1" applyNumberFormat="1" applyFont="1" applyFill="1" applyBorder="1" applyAlignment="1">
      <alignment horizontal="center" vertical="center" wrapText="1"/>
    </xf>
    <xf numFmtId="0" fontId="26" fillId="0" borderId="41" xfId="0" applyFont="1" applyBorder="1" applyAlignment="1">
      <alignment vertical="center" wrapText="1"/>
    </xf>
    <xf numFmtId="178" fontId="28" fillId="3" borderId="16" xfId="0" applyNumberFormat="1" applyFont="1" applyFill="1" applyBorder="1" applyAlignment="1">
      <alignment horizontal="center" vertical="center" wrapText="1"/>
    </xf>
    <xf numFmtId="0" fontId="32" fillId="0" borderId="3" xfId="0" applyFont="1" applyBorder="1" applyAlignment="1">
      <alignment horizontal="justify" vertical="center" wrapText="1"/>
    </xf>
    <xf numFmtId="0" fontId="26" fillId="0" borderId="43" xfId="0" applyFont="1" applyBorder="1" applyAlignment="1">
      <alignment vertical="center" wrapText="1"/>
    </xf>
    <xf numFmtId="178" fontId="28" fillId="3" borderId="44" xfId="0" applyNumberFormat="1" applyFont="1" applyFill="1" applyBorder="1" applyAlignment="1">
      <alignment horizontal="center" vertical="center" wrapText="1"/>
    </xf>
    <xf numFmtId="178" fontId="28" fillId="3" borderId="19" xfId="0" applyNumberFormat="1" applyFont="1" applyFill="1" applyBorder="1" applyAlignment="1">
      <alignment horizontal="center" vertical="center" wrapText="1"/>
    </xf>
    <xf numFmtId="0" fontId="26" fillId="0" borderId="15" xfId="0" applyFont="1" applyBorder="1" applyAlignment="1">
      <alignment vertical="center" wrapText="1"/>
    </xf>
    <xf numFmtId="178" fontId="28" fillId="3" borderId="45" xfId="0" applyNumberFormat="1" applyFont="1" applyFill="1" applyBorder="1" applyAlignment="1">
      <alignment horizontal="center" vertical="center" wrapText="1"/>
    </xf>
    <xf numFmtId="0" fontId="33" fillId="0" borderId="0" xfId="0" applyFont="1">
      <alignment vertical="center"/>
    </xf>
    <xf numFmtId="0" fontId="35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36" fillId="0" borderId="0" xfId="2" applyFont="1" applyAlignment="1">
      <alignment horizontal="center" vertical="center"/>
    </xf>
    <xf numFmtId="0" fontId="37" fillId="0" borderId="0" xfId="2" applyFont="1" applyAlignment="1">
      <alignment horizontal="right" vertical="center"/>
    </xf>
    <xf numFmtId="0" fontId="38" fillId="0" borderId="0" xfId="2" applyFont="1" applyAlignment="1">
      <alignment horizontal="right" vertical="center"/>
    </xf>
    <xf numFmtId="0" fontId="21" fillId="0" borderId="0" xfId="2" applyFont="1" applyAlignment="1">
      <alignment horizontal="right" vertical="center"/>
    </xf>
    <xf numFmtId="0" fontId="39" fillId="0" borderId="0" xfId="2" applyFont="1" applyAlignment="1">
      <alignment horizontal="distributed" vertical="center"/>
    </xf>
    <xf numFmtId="0" fontId="39" fillId="0" borderId="0" xfId="2" applyFont="1" applyAlignment="1">
      <alignment vertical="center"/>
    </xf>
    <xf numFmtId="0" fontId="40" fillId="0" borderId="0" xfId="2" applyFont="1" applyAlignment="1">
      <alignment vertical="center"/>
    </xf>
    <xf numFmtId="0" fontId="41" fillId="0" borderId="0" xfId="0" applyFont="1">
      <alignment vertical="center"/>
    </xf>
    <xf numFmtId="0" fontId="42" fillId="0" borderId="0" xfId="0" applyFont="1">
      <alignment vertical="center"/>
    </xf>
    <xf numFmtId="0" fontId="29" fillId="2" borderId="60" xfId="0" applyFont="1" applyFill="1" applyBorder="1" applyAlignment="1">
      <alignment horizontal="center" vertical="center" wrapText="1"/>
    </xf>
    <xf numFmtId="0" fontId="29" fillId="2" borderId="62" xfId="0" applyFont="1" applyFill="1" applyBorder="1" applyAlignment="1">
      <alignment horizontal="center" vertical="center" wrapText="1"/>
    </xf>
    <xf numFmtId="0" fontId="43" fillId="0" borderId="66" xfId="0" applyFont="1" applyBorder="1" applyAlignment="1">
      <alignment vertical="center" wrapText="1"/>
    </xf>
    <xf numFmtId="0" fontId="32" fillId="0" borderId="67" xfId="0" applyFont="1" applyBorder="1" applyAlignment="1">
      <alignment horizontal="left" vertical="top" wrapText="1"/>
    </xf>
    <xf numFmtId="0" fontId="44" fillId="0" borderId="0" xfId="0" applyFont="1">
      <alignment vertical="center"/>
    </xf>
    <xf numFmtId="0" fontId="32" fillId="0" borderId="72" xfId="0" applyFont="1" applyBorder="1" applyAlignment="1">
      <alignment horizontal="left" vertical="top" wrapText="1"/>
    </xf>
    <xf numFmtId="0" fontId="43" fillId="0" borderId="13" xfId="0" applyFont="1" applyBorder="1" applyAlignment="1">
      <alignment vertical="center" wrapText="1"/>
    </xf>
    <xf numFmtId="0" fontId="43" fillId="0" borderId="57" xfId="0" applyFont="1" applyBorder="1" applyAlignment="1">
      <alignment vertical="center" wrapText="1"/>
    </xf>
    <xf numFmtId="0" fontId="43" fillId="0" borderId="27" xfId="0" applyFont="1" applyBorder="1" applyAlignment="1">
      <alignment vertical="center" wrapText="1"/>
    </xf>
    <xf numFmtId="0" fontId="43" fillId="0" borderId="11" xfId="0" applyFont="1" applyBorder="1" applyAlignment="1">
      <alignment vertical="center" wrapText="1"/>
    </xf>
    <xf numFmtId="0" fontId="29" fillId="2" borderId="69" xfId="0" applyFont="1" applyFill="1" applyBorder="1" applyAlignment="1">
      <alignment horizontal="center" vertical="center" wrapText="1"/>
    </xf>
    <xf numFmtId="0" fontId="29" fillId="2" borderId="71" xfId="0" applyFont="1" applyFill="1" applyBorder="1" applyAlignment="1">
      <alignment horizontal="center" vertical="center" wrapText="1"/>
    </xf>
    <xf numFmtId="0" fontId="43" fillId="0" borderId="27" xfId="0" applyFont="1" applyBorder="1" applyAlignment="1">
      <alignment horizontal="center" vertical="center" wrapText="1"/>
    </xf>
    <xf numFmtId="0" fontId="43" fillId="0" borderId="75" xfId="0" applyFont="1" applyBorder="1" applyAlignment="1">
      <alignment vertical="center" wrapText="1"/>
    </xf>
    <xf numFmtId="0" fontId="43" fillId="0" borderId="77" xfId="0" applyFont="1" applyBorder="1" applyAlignment="1">
      <alignment vertical="center" wrapText="1"/>
    </xf>
    <xf numFmtId="0" fontId="29" fillId="2" borderId="11" xfId="0" applyFont="1" applyFill="1" applyBorder="1" applyAlignment="1">
      <alignment horizontal="center" vertical="center" wrapText="1"/>
    </xf>
    <xf numFmtId="0" fontId="29" fillId="0" borderId="11" xfId="0" applyFont="1" applyBorder="1" applyAlignment="1">
      <alignment vertical="top" wrapText="1"/>
    </xf>
    <xf numFmtId="0" fontId="43" fillId="0" borderId="11" xfId="0" applyFont="1" applyBorder="1" applyAlignment="1">
      <alignment vertical="top" wrapText="1"/>
    </xf>
    <xf numFmtId="0" fontId="32" fillId="0" borderId="11" xfId="0" applyFont="1" applyBorder="1" applyAlignment="1">
      <alignment vertical="top" wrapText="1"/>
    </xf>
    <xf numFmtId="0" fontId="43" fillId="0" borderId="63" xfId="0" applyFont="1" applyBorder="1" applyAlignment="1">
      <alignment vertical="center" wrapText="1"/>
    </xf>
    <xf numFmtId="0" fontId="43" fillId="0" borderId="65" xfId="0" applyFont="1" applyBorder="1" applyAlignment="1">
      <alignment vertical="center" wrapText="1"/>
    </xf>
    <xf numFmtId="0" fontId="21" fillId="0" borderId="0" xfId="2" applyFont="1"/>
    <xf numFmtId="31" fontId="39" fillId="0" borderId="0" xfId="2" applyNumberFormat="1" applyFont="1" applyAlignment="1">
      <alignment horizontal="left" vertical="center"/>
    </xf>
    <xf numFmtId="31" fontId="39" fillId="0" borderId="0" xfId="2" applyNumberFormat="1" applyFont="1" applyAlignment="1">
      <alignment horizontal="right" vertical="center"/>
    </xf>
    <xf numFmtId="0" fontId="39" fillId="0" borderId="0" xfId="2" applyFont="1" applyAlignment="1">
      <alignment horizontal="left" vertical="center"/>
    </xf>
    <xf numFmtId="0" fontId="39" fillId="0" borderId="0" xfId="2" applyFont="1" applyAlignment="1">
      <alignment horizontal="right" vertical="center"/>
    </xf>
    <xf numFmtId="0" fontId="29" fillId="2" borderId="61" xfId="0" applyFont="1" applyFill="1" applyBorder="1" applyAlignment="1">
      <alignment horizontal="center" vertical="center" wrapText="1"/>
    </xf>
    <xf numFmtId="0" fontId="45" fillId="0" borderId="0" xfId="0" applyFont="1">
      <alignment vertical="center"/>
    </xf>
    <xf numFmtId="0" fontId="43" fillId="0" borderId="65" xfId="0" applyFont="1" applyBorder="1" applyAlignment="1">
      <alignment horizontal="justify" vertical="center" wrapText="1"/>
    </xf>
    <xf numFmtId="0" fontId="46" fillId="0" borderId="0" xfId="0" applyFont="1">
      <alignment vertical="center"/>
    </xf>
    <xf numFmtId="0" fontId="43" fillId="0" borderId="29" xfId="0" applyFont="1" applyBorder="1" applyAlignment="1">
      <alignment horizontal="justify" vertical="center" wrapText="1"/>
    </xf>
    <xf numFmtId="0" fontId="27" fillId="0" borderId="29" xfId="0" applyFont="1" applyBorder="1" applyAlignment="1">
      <alignment horizontal="justify" vertical="center" wrapText="1"/>
    </xf>
    <xf numFmtId="0" fontId="27" fillId="0" borderId="30" xfId="0" applyFont="1" applyBorder="1" applyAlignment="1">
      <alignment horizontal="justify" vertical="center" wrapText="1"/>
    </xf>
    <xf numFmtId="0" fontId="29" fillId="2" borderId="70" xfId="0" applyFont="1" applyFill="1" applyBorder="1" applyAlignment="1">
      <alignment horizontal="center" vertical="center" wrapText="1"/>
    </xf>
    <xf numFmtId="0" fontId="43" fillId="0" borderId="11" xfId="0" applyFont="1" applyBorder="1" applyAlignment="1">
      <alignment horizontal="justify" vertical="center" wrapText="1"/>
    </xf>
    <xf numFmtId="0" fontId="43" fillId="0" borderId="28" xfId="0" applyFont="1" applyBorder="1" applyAlignment="1">
      <alignment vertical="center" wrapText="1"/>
    </xf>
    <xf numFmtId="0" fontId="43" fillId="0" borderId="57" xfId="0" applyFont="1" applyBorder="1" applyAlignment="1">
      <alignment horizontal="justify" vertical="center" wrapText="1"/>
    </xf>
    <xf numFmtId="0" fontId="43" fillId="0" borderId="71" xfId="0" applyFont="1" applyBorder="1" applyAlignment="1">
      <alignment vertical="center" wrapText="1"/>
    </xf>
    <xf numFmtId="0" fontId="43" fillId="0" borderId="50" xfId="0" applyFont="1" applyBorder="1" applyAlignment="1">
      <alignment vertical="center" wrapText="1"/>
    </xf>
    <xf numFmtId="0" fontId="29" fillId="2" borderId="67" xfId="0" applyFont="1" applyFill="1" applyBorder="1" applyAlignment="1">
      <alignment horizontal="center" vertical="center" wrapText="1"/>
    </xf>
    <xf numFmtId="0" fontId="43" fillId="0" borderId="80" xfId="0" applyFont="1" applyBorder="1" applyAlignment="1">
      <alignment vertical="center" wrapText="1"/>
    </xf>
    <xf numFmtId="0" fontId="27" fillId="0" borderId="64" xfId="0" applyFont="1" applyBorder="1" applyAlignment="1">
      <alignment horizontal="justify" vertical="center" wrapText="1"/>
    </xf>
    <xf numFmtId="0" fontId="43" fillId="0" borderId="29" xfId="0" applyFont="1" applyBorder="1" applyAlignment="1">
      <alignment vertical="center" wrapText="1"/>
    </xf>
    <xf numFmtId="0" fontId="27" fillId="0" borderId="82" xfId="0" applyFont="1" applyBorder="1" applyAlignment="1">
      <alignment horizontal="justify" vertical="center" wrapText="1"/>
    </xf>
    <xf numFmtId="0" fontId="27" fillId="0" borderId="76" xfId="0" applyFont="1" applyBorder="1" applyAlignment="1">
      <alignment horizontal="justify" vertical="center" wrapText="1"/>
    </xf>
    <xf numFmtId="0" fontId="27" fillId="0" borderId="57" xfId="0" applyFont="1" applyBorder="1" applyAlignment="1">
      <alignment horizontal="justify" vertical="center" wrapText="1"/>
    </xf>
    <xf numFmtId="0" fontId="43" fillId="0" borderId="30" xfId="0" applyFont="1" applyBorder="1" applyAlignment="1">
      <alignment vertical="center" wrapText="1"/>
    </xf>
    <xf numFmtId="0" fontId="27" fillId="0" borderId="83" xfId="0" applyFont="1" applyBorder="1" applyAlignment="1">
      <alignment horizontal="justify" vertical="center" wrapText="1"/>
    </xf>
    <xf numFmtId="0" fontId="27" fillId="0" borderId="65" xfId="0" applyFont="1" applyBorder="1" applyAlignment="1">
      <alignment horizontal="justify" vertical="center" wrapText="1"/>
    </xf>
    <xf numFmtId="0" fontId="27" fillId="0" borderId="80" xfId="0" applyFont="1" applyBorder="1" applyAlignment="1">
      <alignment horizontal="justify" vertical="center" wrapText="1"/>
    </xf>
    <xf numFmtId="0" fontId="27" fillId="0" borderId="27" xfId="0" applyFont="1" applyBorder="1" applyAlignment="1">
      <alignment horizontal="justify" vertical="center" wrapText="1"/>
    </xf>
    <xf numFmtId="0" fontId="47" fillId="0" borderId="0" xfId="0" applyFont="1" applyAlignment="1">
      <alignment horizontal="left" vertical="center"/>
    </xf>
    <xf numFmtId="0" fontId="48" fillId="0" borderId="0" xfId="0" applyFont="1">
      <alignment vertical="center"/>
    </xf>
    <xf numFmtId="0" fontId="49" fillId="0" borderId="0" xfId="0" applyFont="1">
      <alignment vertical="center"/>
    </xf>
    <xf numFmtId="0" fontId="50" fillId="0" borderId="0" xfId="0" applyFont="1" applyAlignment="1">
      <alignment vertical="top"/>
    </xf>
    <xf numFmtId="0" fontId="39" fillId="0" borderId="0" xfId="0" applyFont="1" applyAlignment="1" applyProtection="1">
      <alignment horizontal="center" vertical="center"/>
      <protection locked="0"/>
    </xf>
    <xf numFmtId="0" fontId="25" fillId="0" borderId="0" xfId="0" applyFont="1" applyProtection="1">
      <alignment vertical="center"/>
      <protection locked="0"/>
    </xf>
    <xf numFmtId="0" fontId="25" fillId="0" borderId="0" xfId="0" applyFont="1" applyAlignment="1" applyProtection="1">
      <alignment horizontal="right" vertical="center"/>
      <protection locked="0"/>
    </xf>
    <xf numFmtId="0" fontId="33" fillId="4" borderId="35" xfId="0" applyFont="1" applyFill="1" applyBorder="1" applyAlignment="1" applyProtection="1">
      <alignment horizontal="center" vertical="center"/>
      <protection locked="0"/>
    </xf>
    <xf numFmtId="0" fontId="33" fillId="0" borderId="10" xfId="0" applyFont="1" applyBorder="1" applyAlignment="1" applyProtection="1">
      <alignment horizontal="center" vertical="center"/>
      <protection locked="0"/>
    </xf>
    <xf numFmtId="0" fontId="33" fillId="7" borderId="11" xfId="0" applyFont="1" applyFill="1" applyBorder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33" fillId="0" borderId="0" xfId="0" applyFont="1" applyAlignment="1" applyProtection="1">
      <alignment horizontal="left" vertical="center"/>
      <protection locked="0"/>
    </xf>
    <xf numFmtId="0" fontId="33" fillId="0" borderId="50" xfId="0" applyFont="1" applyBorder="1" applyAlignment="1" applyProtection="1">
      <alignment horizontal="left" vertical="center"/>
      <protection locked="0"/>
    </xf>
    <xf numFmtId="0" fontId="33" fillId="0" borderId="26" xfId="0" applyFont="1" applyBorder="1" applyAlignment="1" applyProtection="1">
      <alignment horizontal="center" vertical="center"/>
      <protection locked="0"/>
    </xf>
    <xf numFmtId="0" fontId="33" fillId="0" borderId="30" xfId="0" applyFont="1" applyBorder="1" applyAlignment="1" applyProtection="1">
      <alignment horizontal="center" vertical="center"/>
      <protection locked="0"/>
    </xf>
    <xf numFmtId="0" fontId="21" fillId="0" borderId="27" xfId="0" applyFont="1" applyBorder="1" applyAlignment="1" applyProtection="1">
      <alignment horizontal="center" vertical="center"/>
      <protection locked="0"/>
    </xf>
    <xf numFmtId="0" fontId="33" fillId="0" borderId="27" xfId="0" applyFont="1" applyBorder="1" applyAlignment="1" applyProtection="1">
      <alignment horizontal="center" vertical="center"/>
      <protection locked="0"/>
    </xf>
    <xf numFmtId="0" fontId="21" fillId="0" borderId="18" xfId="0" applyFont="1" applyBorder="1" applyAlignment="1" applyProtection="1">
      <alignment horizontal="center" vertical="center"/>
      <protection locked="0"/>
    </xf>
    <xf numFmtId="0" fontId="21" fillId="0" borderId="11" xfId="0" applyFont="1" applyBorder="1" applyProtection="1">
      <alignment vertical="center"/>
      <protection locked="0"/>
    </xf>
    <xf numFmtId="0" fontId="21" fillId="0" borderId="0" xfId="0" applyFont="1" applyProtection="1">
      <alignment vertical="center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21" fillId="0" borderId="11" xfId="0" applyFont="1" applyBorder="1" applyAlignment="1" applyProtection="1">
      <alignment vertical="center" wrapText="1"/>
      <protection locked="0"/>
    </xf>
    <xf numFmtId="176" fontId="21" fillId="0" borderId="18" xfId="1" applyNumberFormat="1" applyFont="1" applyBorder="1" applyAlignment="1" applyProtection="1">
      <alignment horizontal="center" vertical="center"/>
    </xf>
    <xf numFmtId="176" fontId="21" fillId="0" borderId="0" xfId="1" applyNumberFormat="1" applyFont="1" applyBorder="1" applyAlignment="1" applyProtection="1">
      <alignment horizontal="center" vertical="center"/>
      <protection locked="0"/>
    </xf>
    <xf numFmtId="0" fontId="33" fillId="0" borderId="24" xfId="0" applyFont="1" applyBorder="1" applyAlignment="1" applyProtection="1">
      <alignment horizontal="center" vertical="center"/>
      <protection locked="0"/>
    </xf>
    <xf numFmtId="0" fontId="21" fillId="0" borderId="91" xfId="0" applyFont="1" applyBorder="1" applyAlignment="1" applyProtection="1">
      <alignment vertical="center" wrapText="1"/>
      <protection locked="0"/>
    </xf>
    <xf numFmtId="0" fontId="33" fillId="0" borderId="51" xfId="0" applyFont="1" applyBorder="1" applyAlignment="1" applyProtection="1">
      <alignment horizontal="center" vertical="center" wrapText="1"/>
      <protection locked="0"/>
    </xf>
    <xf numFmtId="0" fontId="43" fillId="0" borderId="101" xfId="0" applyFont="1" applyBorder="1" applyAlignment="1">
      <alignment vertical="center" wrapText="1"/>
    </xf>
    <xf numFmtId="0" fontId="32" fillId="8" borderId="0" xfId="0" applyFont="1" applyFill="1" applyAlignment="1">
      <alignment horizontal="left" vertical="top"/>
    </xf>
    <xf numFmtId="0" fontId="43" fillId="8" borderId="73" xfId="0" applyFont="1" applyFill="1" applyBorder="1" applyAlignment="1">
      <alignment horizontal="justify" vertical="center" wrapText="1"/>
    </xf>
    <xf numFmtId="0" fontId="43" fillId="8" borderId="81" xfId="0" applyFont="1" applyFill="1" applyBorder="1" applyAlignment="1">
      <alignment vertical="center" wrapText="1"/>
    </xf>
    <xf numFmtId="0" fontId="43" fillId="8" borderId="80" xfId="0" applyFont="1" applyFill="1" applyBorder="1" applyAlignment="1">
      <alignment vertical="center" wrapText="1"/>
    </xf>
    <xf numFmtId="0" fontId="29" fillId="2" borderId="104" xfId="0" applyFont="1" applyFill="1" applyBorder="1" applyAlignment="1">
      <alignment horizontal="center" vertical="center" wrapText="1"/>
    </xf>
    <xf numFmtId="0" fontId="29" fillId="2" borderId="68" xfId="0" applyFont="1" applyFill="1" applyBorder="1" applyAlignment="1">
      <alignment horizontal="center" vertical="center" wrapText="1"/>
    </xf>
    <xf numFmtId="0" fontId="43" fillId="0" borderId="99" xfId="0" applyFont="1" applyBorder="1" applyAlignment="1">
      <alignment vertical="center" wrapText="1"/>
    </xf>
    <xf numFmtId="0" fontId="43" fillId="0" borderId="100" xfId="0" applyFont="1" applyBorder="1" applyAlignment="1">
      <alignment vertical="center" wrapText="1"/>
    </xf>
    <xf numFmtId="0" fontId="27" fillId="0" borderId="73" xfId="0" applyFont="1" applyBorder="1" applyAlignment="1">
      <alignment horizontal="justify" vertical="center" wrapText="1"/>
    </xf>
    <xf numFmtId="0" fontId="27" fillId="0" borderId="74" xfId="0" applyFont="1" applyBorder="1" applyAlignment="1">
      <alignment horizontal="justify" vertical="center" wrapText="1"/>
    </xf>
    <xf numFmtId="0" fontId="29" fillId="8" borderId="11" xfId="0" applyFont="1" applyFill="1" applyBorder="1" applyAlignment="1">
      <alignment horizontal="left" vertical="top"/>
    </xf>
    <xf numFmtId="0" fontId="27" fillId="8" borderId="11" xfId="0" applyFont="1" applyFill="1" applyBorder="1" applyAlignment="1">
      <alignment horizontal="justify" vertical="center" wrapText="1"/>
    </xf>
    <xf numFmtId="0" fontId="43" fillId="8" borderId="11" xfId="0" applyFont="1" applyFill="1" applyBorder="1" applyAlignment="1">
      <alignment vertical="center" wrapText="1"/>
    </xf>
    <xf numFmtId="0" fontId="43" fillId="0" borderId="104" xfId="0" applyFont="1" applyBorder="1" applyAlignment="1">
      <alignment vertical="center" wrapText="1"/>
    </xf>
    <xf numFmtId="0" fontId="43" fillId="0" borderId="106" xfId="0" applyFont="1" applyBorder="1" applyAlignment="1">
      <alignment vertical="center" wrapText="1"/>
    </xf>
    <xf numFmtId="0" fontId="55" fillId="0" borderId="25" xfId="0" applyFont="1" applyBorder="1" applyAlignment="1">
      <alignment vertical="center" wrapText="1"/>
    </xf>
    <xf numFmtId="176" fontId="29" fillId="9" borderId="19" xfId="0" applyNumberFormat="1" applyFont="1" applyFill="1" applyBorder="1" applyAlignment="1">
      <alignment horizontal="center" vertical="center" wrapText="1"/>
    </xf>
    <xf numFmtId="0" fontId="58" fillId="9" borderId="23" xfId="0" applyFont="1" applyFill="1" applyBorder="1" applyAlignment="1">
      <alignment vertical="center" wrapText="1"/>
    </xf>
    <xf numFmtId="0" fontId="23" fillId="0" borderId="31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42" xfId="0" applyFont="1" applyBorder="1" applyAlignment="1">
      <alignment horizontal="center" vertical="center" wrapText="1"/>
    </xf>
    <xf numFmtId="0" fontId="25" fillId="0" borderId="26" xfId="0" applyFont="1" applyBorder="1" applyAlignment="1">
      <alignment horizontal="center" vertical="center" wrapText="1"/>
    </xf>
    <xf numFmtId="0" fontId="55" fillId="0" borderId="27" xfId="0" applyFont="1" applyBorder="1" applyAlignment="1">
      <alignment vertical="center" wrapText="1"/>
    </xf>
    <xf numFmtId="0" fontId="33" fillId="0" borderId="0" xfId="0" applyFont="1" applyAlignment="1">
      <alignment horizontal="center" vertical="center"/>
    </xf>
    <xf numFmtId="0" fontId="58" fillId="9" borderId="30" xfId="0" applyFont="1" applyFill="1" applyBorder="1" applyAlignment="1">
      <alignment vertical="center" wrapText="1"/>
    </xf>
    <xf numFmtId="176" fontId="29" fillId="9" borderId="18" xfId="0" applyNumberFormat="1" applyFont="1" applyFill="1" applyBorder="1" applyAlignment="1">
      <alignment horizontal="center" vertical="center" wrapText="1"/>
    </xf>
    <xf numFmtId="0" fontId="23" fillId="9" borderId="8" xfId="0" applyFont="1" applyFill="1" applyBorder="1" applyAlignment="1">
      <alignment vertical="center" wrapText="1"/>
    </xf>
    <xf numFmtId="176" fontId="29" fillId="9" borderId="17" xfId="0" applyNumberFormat="1" applyFont="1" applyFill="1" applyBorder="1" applyAlignment="1">
      <alignment horizontal="center" vertical="center" wrapText="1"/>
    </xf>
    <xf numFmtId="0" fontId="55" fillId="0" borderId="107" xfId="0" applyFont="1" applyBorder="1" applyAlignment="1">
      <alignment vertical="center" wrapText="1"/>
    </xf>
    <xf numFmtId="0" fontId="28" fillId="3" borderId="33" xfId="0" applyFont="1" applyFill="1" applyBorder="1" applyAlignment="1">
      <alignment horizontal="center" vertical="center" wrapText="1"/>
    </xf>
    <xf numFmtId="0" fontId="58" fillId="9" borderId="8" xfId="0" applyFont="1" applyFill="1" applyBorder="1" applyAlignment="1">
      <alignment vertical="center" wrapText="1"/>
    </xf>
    <xf numFmtId="0" fontId="55" fillId="0" borderId="32" xfId="0" applyFont="1" applyBorder="1" applyAlignment="1">
      <alignment vertical="center" wrapText="1"/>
    </xf>
    <xf numFmtId="176" fontId="27" fillId="3" borderId="94" xfId="0" applyNumberFormat="1" applyFont="1" applyFill="1" applyBorder="1" applyAlignment="1">
      <alignment horizontal="center" vertical="center" wrapText="1"/>
    </xf>
    <xf numFmtId="0" fontId="55" fillId="0" borderId="11" xfId="0" applyFont="1" applyBorder="1" applyAlignment="1">
      <alignment vertical="center" wrapText="1"/>
    </xf>
    <xf numFmtId="0" fontId="30" fillId="3" borderId="55" xfId="0" applyFont="1" applyFill="1" applyBorder="1" applyAlignment="1">
      <alignment horizontal="center" vertical="center" wrapText="1"/>
    </xf>
    <xf numFmtId="179" fontId="24" fillId="0" borderId="6" xfId="0" applyNumberFormat="1" applyFont="1" applyBorder="1" applyAlignment="1">
      <alignment horizontal="center" vertical="center" wrapText="1"/>
    </xf>
    <xf numFmtId="0" fontId="24" fillId="10" borderId="17" xfId="0" applyFont="1" applyFill="1" applyBorder="1" applyAlignment="1">
      <alignment horizontal="center" vertical="center" wrapText="1"/>
    </xf>
    <xf numFmtId="0" fontId="23" fillId="10" borderId="10" xfId="0" applyFont="1" applyFill="1" applyBorder="1" applyAlignment="1">
      <alignment horizontal="center" vertical="center" wrapText="1"/>
    </xf>
    <xf numFmtId="0" fontId="23" fillId="10" borderId="13" xfId="0" applyFont="1" applyFill="1" applyBorder="1" applyAlignment="1">
      <alignment horizontal="justify" vertical="center" wrapText="1"/>
    </xf>
    <xf numFmtId="0" fontId="24" fillId="10" borderId="34" xfId="0" applyFont="1" applyFill="1" applyBorder="1" applyAlignment="1">
      <alignment horizontal="center" vertical="center" wrapText="1"/>
    </xf>
    <xf numFmtId="0" fontId="23" fillId="10" borderId="14" xfId="0" applyFont="1" applyFill="1" applyBorder="1" applyAlignment="1">
      <alignment horizontal="center" vertical="center" wrapText="1"/>
    </xf>
    <xf numFmtId="0" fontId="23" fillId="10" borderId="32" xfId="0" applyFont="1" applyFill="1" applyBorder="1" applyAlignment="1">
      <alignment horizontal="justify" vertical="center" wrapText="1"/>
    </xf>
    <xf numFmtId="177" fontId="24" fillId="10" borderId="33" xfId="0" applyNumberFormat="1" applyFont="1" applyFill="1" applyBorder="1" applyAlignment="1">
      <alignment horizontal="center" vertical="center" wrapText="1"/>
    </xf>
    <xf numFmtId="179" fontId="24" fillId="10" borderId="9" xfId="0" applyNumberFormat="1" applyFont="1" applyFill="1" applyBorder="1" applyAlignment="1">
      <alignment horizontal="center" vertical="center" wrapText="1"/>
    </xf>
    <xf numFmtId="0" fontId="25" fillId="10" borderId="11" xfId="0" applyFont="1" applyFill="1" applyBorder="1" applyAlignment="1">
      <alignment horizontal="justify" vertical="center" wrapText="1"/>
    </xf>
    <xf numFmtId="179" fontId="24" fillId="10" borderId="12" xfId="0" applyNumberFormat="1" applyFont="1" applyFill="1" applyBorder="1" applyAlignment="1">
      <alignment horizontal="center" vertical="center" wrapText="1"/>
    </xf>
    <xf numFmtId="0" fontId="25" fillId="10" borderId="13" xfId="0" applyFont="1" applyFill="1" applyBorder="1" applyAlignment="1">
      <alignment horizontal="justify" vertical="center" wrapText="1"/>
    </xf>
    <xf numFmtId="0" fontId="25" fillId="10" borderId="15" xfId="0" applyFont="1" applyFill="1" applyBorder="1" applyAlignment="1">
      <alignment horizontal="justify" vertical="center" wrapText="1"/>
    </xf>
    <xf numFmtId="179" fontId="24" fillId="10" borderId="16" xfId="0" applyNumberFormat="1" applyFont="1" applyFill="1" applyBorder="1" applyAlignment="1">
      <alignment horizontal="center" vertical="center" wrapText="1"/>
    </xf>
    <xf numFmtId="178" fontId="28" fillId="3" borderId="16" xfId="0" quotePrefix="1" applyNumberFormat="1" applyFont="1" applyFill="1" applyBorder="1" applyAlignment="1">
      <alignment horizontal="center" vertical="center" wrapText="1"/>
    </xf>
    <xf numFmtId="178" fontId="28" fillId="3" borderId="94" xfId="0" applyNumberFormat="1" applyFont="1" applyFill="1" applyBorder="1" applyAlignment="1">
      <alignment horizontal="center" vertical="center" wrapText="1"/>
    </xf>
    <xf numFmtId="0" fontId="55" fillId="0" borderId="108" xfId="0" applyFont="1" applyBorder="1" applyAlignment="1">
      <alignment vertical="center" wrapText="1"/>
    </xf>
    <xf numFmtId="0" fontId="32" fillId="0" borderId="27" xfId="0" applyFont="1" applyBorder="1" applyAlignment="1">
      <alignment vertical="top" wrapText="1"/>
    </xf>
    <xf numFmtId="0" fontId="32" fillId="0" borderId="21" xfId="0" applyFont="1" applyBorder="1" applyAlignment="1">
      <alignment vertical="top" wrapText="1"/>
    </xf>
    <xf numFmtId="0" fontId="43" fillId="0" borderId="110" xfId="0" applyFont="1" applyBorder="1" applyAlignment="1">
      <alignment vertical="center" wrapText="1"/>
    </xf>
    <xf numFmtId="0" fontId="55" fillId="0" borderId="109" xfId="0" applyFont="1" applyBorder="1" applyAlignment="1">
      <alignment vertical="center" wrapText="1"/>
    </xf>
    <xf numFmtId="0" fontId="29" fillId="0" borderId="69" xfId="0" applyFont="1" applyBorder="1" applyAlignment="1">
      <alignment horizontal="justify" vertical="center" wrapText="1"/>
    </xf>
    <xf numFmtId="0" fontId="29" fillId="0" borderId="13" xfId="0" applyFont="1" applyBorder="1" applyAlignment="1">
      <alignment horizontal="justify" vertical="center" wrapText="1"/>
    </xf>
    <xf numFmtId="0" fontId="29" fillId="0" borderId="76" xfId="0" applyFont="1" applyBorder="1" applyAlignment="1">
      <alignment horizontal="justify" vertical="center" wrapText="1"/>
    </xf>
    <xf numFmtId="0" fontId="29" fillId="0" borderId="84" xfId="0" applyFont="1" applyBorder="1" applyAlignment="1">
      <alignment horizontal="justify" vertical="center" wrapText="1"/>
    </xf>
    <xf numFmtId="0" fontId="29" fillId="0" borderId="70" xfId="0" applyFont="1" applyBorder="1" applyAlignment="1">
      <alignment horizontal="justify" vertical="center" wrapText="1"/>
    </xf>
    <xf numFmtId="0" fontId="29" fillId="0" borderId="65" xfId="0" applyFont="1" applyBorder="1" applyAlignment="1">
      <alignment horizontal="justify" vertical="center" wrapText="1"/>
    </xf>
    <xf numFmtId="0" fontId="29" fillId="0" borderId="80" xfId="0" applyFont="1" applyBorder="1" applyAlignment="1">
      <alignment horizontal="justify" vertical="center" wrapText="1"/>
    </xf>
    <xf numFmtId="0" fontId="29" fillId="0" borderId="57" xfId="0" applyFont="1" applyBorder="1" applyAlignment="1">
      <alignment horizontal="justify" vertical="center" wrapText="1"/>
    </xf>
    <xf numFmtId="0" fontId="29" fillId="0" borderId="27" xfId="0" applyFont="1" applyBorder="1" applyAlignment="1">
      <alignment horizontal="justify" vertical="center" wrapText="1"/>
    </xf>
    <xf numFmtId="0" fontId="29" fillId="0" borderId="11" xfId="0" applyFont="1" applyBorder="1" applyAlignment="1">
      <alignment horizontal="justify" vertical="center" wrapText="1"/>
    </xf>
    <xf numFmtId="0" fontId="29" fillId="0" borderId="105" xfId="0" applyFont="1" applyBorder="1" applyAlignment="1">
      <alignment horizontal="justify" vertical="center" wrapText="1"/>
    </xf>
    <xf numFmtId="0" fontId="32" fillId="0" borderId="13" xfId="0" applyFont="1" applyBorder="1" applyAlignment="1">
      <alignment horizontal="justify" vertical="center" wrapText="1"/>
    </xf>
    <xf numFmtId="0" fontId="32" fillId="0" borderId="27" xfId="0" applyFont="1" applyBorder="1" applyAlignment="1">
      <alignment horizontal="justify" vertical="center" wrapText="1"/>
    </xf>
    <xf numFmtId="0" fontId="32" fillId="0" borderId="104" xfId="0" applyFont="1" applyBorder="1" applyAlignment="1">
      <alignment horizontal="justify" vertical="center" wrapText="1"/>
    </xf>
    <xf numFmtId="0" fontId="32" fillId="0" borderId="70" xfId="0" applyFont="1" applyBorder="1" applyAlignment="1">
      <alignment horizontal="justify" vertical="center" wrapText="1"/>
    </xf>
    <xf numFmtId="0" fontId="24" fillId="0" borderId="78" xfId="0" applyFont="1" applyBorder="1" applyAlignment="1">
      <alignment horizontal="justify" vertical="center" wrapText="1"/>
    </xf>
    <xf numFmtId="0" fontId="32" fillId="0" borderId="78" xfId="0" applyFont="1" applyBorder="1" applyAlignment="1">
      <alignment horizontal="justify" vertical="center" wrapText="1"/>
    </xf>
    <xf numFmtId="0" fontId="32" fillId="0" borderId="85" xfId="0" applyFont="1" applyBorder="1" applyAlignment="1">
      <alignment horizontal="justify" vertical="center" wrapText="1"/>
    </xf>
    <xf numFmtId="0" fontId="24" fillId="0" borderId="28" xfId="0" applyFont="1" applyBorder="1" applyAlignment="1">
      <alignment horizontal="justify" vertical="center" wrapText="1"/>
    </xf>
    <xf numFmtId="0" fontId="32" fillId="0" borderId="111" xfId="0" applyFont="1" applyBorder="1" applyAlignment="1">
      <alignment horizontal="left" vertical="top" wrapText="1"/>
    </xf>
    <xf numFmtId="0" fontId="43" fillId="0" borderId="112" xfId="0" applyFont="1" applyBorder="1" applyAlignment="1">
      <alignment vertical="center" wrapText="1"/>
    </xf>
    <xf numFmtId="0" fontId="32" fillId="0" borderId="113" xfId="0" applyFont="1" applyBorder="1" applyAlignment="1">
      <alignment horizontal="left" vertical="top" wrapText="1"/>
    </xf>
    <xf numFmtId="0" fontId="43" fillId="0" borderId="114" xfId="0" applyFont="1" applyBorder="1" applyAlignment="1">
      <alignment vertical="center" wrapText="1"/>
    </xf>
    <xf numFmtId="0" fontId="33" fillId="0" borderId="11" xfId="0" applyFont="1" applyBorder="1" applyAlignment="1" applyProtection="1">
      <alignment horizontal="center" vertical="center"/>
      <protection locked="0"/>
    </xf>
    <xf numFmtId="0" fontId="21" fillId="12" borderId="0" xfId="0" applyFont="1" applyFill="1" applyAlignment="1" applyProtection="1">
      <alignment horizontal="center" vertical="center"/>
      <protection locked="0"/>
    </xf>
    <xf numFmtId="0" fontId="21" fillId="12" borderId="11" xfId="0" applyFont="1" applyFill="1" applyBorder="1" applyAlignment="1" applyProtection="1">
      <alignment vertical="center" wrapText="1"/>
      <protection locked="0"/>
    </xf>
    <xf numFmtId="0" fontId="33" fillId="0" borderId="51" xfId="0" applyFont="1" applyBorder="1" applyAlignment="1" applyProtection="1">
      <alignment horizontal="center" vertical="center"/>
      <protection locked="0"/>
    </xf>
    <xf numFmtId="0" fontId="29" fillId="0" borderId="63" xfId="0" applyFont="1" applyBorder="1" applyAlignment="1">
      <alignment horizontal="justify" vertical="center" wrapText="1"/>
    </xf>
    <xf numFmtId="0" fontId="32" fillId="11" borderId="11" xfId="0" applyFont="1" applyFill="1" applyBorder="1" applyAlignment="1">
      <alignment vertical="top" wrapText="1"/>
    </xf>
    <xf numFmtId="0" fontId="34" fillId="0" borderId="0" xfId="2" applyFont="1" applyAlignment="1">
      <alignment horizontal="center" vertical="center"/>
    </xf>
    <xf numFmtId="0" fontId="39" fillId="0" borderId="0" xfId="2" applyFont="1" applyAlignment="1">
      <alignment horizontal="left" vertical="center" shrinkToFit="1"/>
    </xf>
    <xf numFmtId="0" fontId="32" fillId="11" borderId="38" xfId="0" applyFont="1" applyFill="1" applyBorder="1" applyAlignment="1">
      <alignment vertical="top" wrapText="1"/>
    </xf>
    <xf numFmtId="0" fontId="32" fillId="11" borderId="50" xfId="0" applyFont="1" applyFill="1" applyBorder="1" applyAlignment="1">
      <alignment vertical="top" wrapText="1"/>
    </xf>
    <xf numFmtId="0" fontId="23" fillId="0" borderId="24" xfId="0" applyFont="1" applyBorder="1" applyAlignment="1">
      <alignment horizontal="center" vertical="center" wrapText="1"/>
    </xf>
    <xf numFmtId="0" fontId="23" fillId="0" borderId="59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justify" vertical="center" wrapText="1"/>
    </xf>
    <xf numFmtId="0" fontId="23" fillId="0" borderId="5" xfId="0" applyFont="1" applyBorder="1" applyAlignment="1">
      <alignment horizontal="justify" vertical="center" wrapText="1"/>
    </xf>
    <xf numFmtId="0" fontId="23" fillId="10" borderId="7" xfId="0" applyFont="1" applyFill="1" applyBorder="1" applyAlignment="1">
      <alignment horizontal="justify" vertical="center" wrapText="1"/>
    </xf>
    <xf numFmtId="0" fontId="23" fillId="10" borderId="8" xfId="0" applyFont="1" applyFill="1" applyBorder="1" applyAlignment="1">
      <alignment horizontal="justify" vertical="center" wrapText="1"/>
    </xf>
    <xf numFmtId="0" fontId="23" fillId="0" borderId="35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/>
    </xf>
    <xf numFmtId="0" fontId="23" fillId="0" borderId="59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3" fillId="0" borderId="4" xfId="0" applyFont="1" applyBorder="1" applyAlignment="1">
      <alignment horizontal="left" vertical="center" wrapText="1"/>
    </xf>
    <xf numFmtId="0" fontId="23" fillId="0" borderId="5" xfId="0" applyFont="1" applyBorder="1" applyAlignment="1">
      <alignment horizontal="left" vertical="center" wrapText="1"/>
    </xf>
    <xf numFmtId="0" fontId="21" fillId="0" borderId="13" xfId="0" applyFont="1" applyBorder="1" applyAlignment="1" applyProtection="1">
      <alignment vertical="top" wrapText="1"/>
      <protection locked="0"/>
    </xf>
    <xf numFmtId="0" fontId="21" fillId="0" borderId="27" xfId="0" applyFont="1" applyBorder="1" applyAlignment="1" applyProtection="1">
      <alignment vertical="top" wrapText="1"/>
      <protection locked="0"/>
    </xf>
    <xf numFmtId="0" fontId="21" fillId="0" borderId="52" xfId="0" applyFont="1" applyBorder="1" applyAlignment="1" applyProtection="1">
      <alignment horizontal="left" vertical="center" wrapText="1"/>
      <protection locked="0"/>
    </xf>
    <xf numFmtId="0" fontId="21" fillId="0" borderId="53" xfId="0" applyFont="1" applyBorder="1" applyAlignment="1" applyProtection="1">
      <alignment horizontal="left" vertical="center" wrapText="1"/>
      <protection locked="0"/>
    </xf>
    <xf numFmtId="0" fontId="33" fillId="0" borderId="47" xfId="0" applyFont="1" applyBorder="1" applyAlignment="1" applyProtection="1">
      <alignment horizontal="left" vertical="center"/>
      <protection locked="0"/>
    </xf>
    <xf numFmtId="0" fontId="33" fillId="0" borderId="48" xfId="0" applyFont="1" applyBorder="1" applyAlignment="1" applyProtection="1">
      <alignment horizontal="left" vertical="center"/>
      <protection locked="0"/>
    </xf>
    <xf numFmtId="0" fontId="33" fillId="0" borderId="49" xfId="0" applyFont="1" applyBorder="1" applyAlignment="1" applyProtection="1">
      <alignment horizontal="left" vertical="center"/>
      <protection locked="0"/>
    </xf>
    <xf numFmtId="0" fontId="33" fillId="0" borderId="56" xfId="0" applyFont="1" applyBorder="1" applyAlignment="1" applyProtection="1">
      <alignment horizontal="center" vertical="center"/>
      <protection locked="0"/>
    </xf>
    <xf numFmtId="0" fontId="33" fillId="0" borderId="59" xfId="0" applyFont="1" applyBorder="1" applyAlignment="1" applyProtection="1">
      <alignment horizontal="center" vertical="center"/>
      <protection locked="0"/>
    </xf>
    <xf numFmtId="0" fontId="51" fillId="0" borderId="95" xfId="0" applyFont="1" applyBorder="1" applyAlignment="1" applyProtection="1">
      <alignment horizontal="left" vertical="center" wrapText="1"/>
      <protection locked="0"/>
    </xf>
    <xf numFmtId="0" fontId="51" fillId="0" borderId="96" xfId="0" applyFont="1" applyBorder="1" applyAlignment="1" applyProtection="1">
      <alignment horizontal="left" vertical="center" wrapText="1"/>
      <protection locked="0"/>
    </xf>
    <xf numFmtId="0" fontId="21" fillId="0" borderId="97" xfId="0" applyFont="1" applyBorder="1" applyAlignment="1" applyProtection="1">
      <alignment horizontal="left" vertical="center" wrapText="1"/>
      <protection locked="0"/>
    </xf>
    <xf numFmtId="0" fontId="21" fillId="0" borderId="98" xfId="0" applyFont="1" applyBorder="1" applyAlignment="1" applyProtection="1">
      <alignment horizontal="left" vertical="center" wrapText="1"/>
      <protection locked="0"/>
    </xf>
    <xf numFmtId="0" fontId="21" fillId="0" borderId="11" xfId="0" applyFont="1" applyBorder="1" applyAlignment="1" applyProtection="1">
      <alignment horizontal="left" vertical="center" wrapText="1"/>
      <protection locked="0"/>
    </xf>
    <xf numFmtId="0" fontId="21" fillId="0" borderId="19" xfId="0" applyFont="1" applyBorder="1" applyAlignment="1" applyProtection="1">
      <alignment horizontal="left" vertical="center" wrapText="1"/>
      <protection locked="0"/>
    </xf>
    <xf numFmtId="0" fontId="39" fillId="0" borderId="0" xfId="0" applyFont="1" applyAlignment="1" applyProtection="1">
      <alignment horizontal="center" vertical="center"/>
      <protection locked="0"/>
    </xf>
    <xf numFmtId="0" fontId="33" fillId="4" borderId="46" xfId="0" applyFont="1" applyFill="1" applyBorder="1" applyAlignment="1" applyProtection="1">
      <alignment horizontal="center" vertical="center"/>
      <protection locked="0"/>
    </xf>
    <xf numFmtId="0" fontId="33" fillId="4" borderId="44" xfId="0" applyFont="1" applyFill="1" applyBorder="1" applyAlignment="1" applyProtection="1">
      <alignment horizontal="center" vertical="center"/>
      <protection locked="0"/>
    </xf>
    <xf numFmtId="0" fontId="21" fillId="0" borderId="11" xfId="0" applyFont="1" applyBorder="1" applyAlignment="1" applyProtection="1">
      <alignment horizontal="center" vertical="center"/>
      <protection locked="0"/>
    </xf>
    <xf numFmtId="0" fontId="21" fillId="0" borderId="19" xfId="0" applyFont="1" applyBorder="1" applyAlignment="1" applyProtection="1">
      <alignment horizontal="center" vertical="center"/>
      <protection locked="0"/>
    </xf>
    <xf numFmtId="0" fontId="21" fillId="0" borderId="13" xfId="0" applyFont="1" applyBorder="1" applyAlignment="1" applyProtection="1">
      <alignment horizontal="left" vertical="center" wrapText="1"/>
      <protection locked="0"/>
    </xf>
    <xf numFmtId="0" fontId="21" fillId="0" borderId="34" xfId="0" applyFont="1" applyBorder="1" applyAlignment="1" applyProtection="1">
      <alignment horizontal="left" vertical="center" wrapText="1"/>
      <protection locked="0"/>
    </xf>
    <xf numFmtId="0" fontId="21" fillId="0" borderId="38" xfId="0" applyFont="1" applyBorder="1" applyAlignment="1" applyProtection="1">
      <alignment horizontal="left" vertical="center" wrapText="1"/>
      <protection locked="0"/>
    </xf>
    <xf numFmtId="0" fontId="21" fillId="0" borderId="54" xfId="0" applyFont="1" applyBorder="1" applyAlignment="1" applyProtection="1">
      <alignment horizontal="left" vertical="center" wrapText="1"/>
      <protection locked="0"/>
    </xf>
    <xf numFmtId="0" fontId="21" fillId="0" borderId="55" xfId="0" applyFont="1" applyBorder="1" applyAlignment="1" applyProtection="1">
      <alignment horizontal="left" vertical="center" wrapText="1"/>
      <protection locked="0"/>
    </xf>
    <xf numFmtId="0" fontId="33" fillId="0" borderId="115" xfId="0" applyFont="1" applyBorder="1" applyAlignment="1" applyProtection="1">
      <alignment horizontal="center" vertical="center"/>
      <protection locked="0"/>
    </xf>
    <xf numFmtId="0" fontId="33" fillId="0" borderId="116" xfId="0" applyFont="1" applyBorder="1" applyAlignment="1" applyProtection="1">
      <alignment horizontal="center" vertical="center"/>
      <protection locked="0"/>
    </xf>
    <xf numFmtId="0" fontId="33" fillId="0" borderId="117" xfId="0" applyFont="1" applyBorder="1" applyAlignment="1" applyProtection="1">
      <alignment horizontal="center" vertical="center"/>
      <protection locked="0"/>
    </xf>
    <xf numFmtId="0" fontId="0" fillId="5" borderId="58" xfId="0" applyFill="1" applyBorder="1" applyAlignment="1">
      <alignment horizontal="center" vertical="center" wrapText="1"/>
    </xf>
    <xf numFmtId="0" fontId="0" fillId="5" borderId="94" xfId="0" applyFill="1" applyBorder="1" applyAlignment="1">
      <alignment horizontal="center" vertical="center" wrapText="1"/>
    </xf>
    <xf numFmtId="0" fontId="9" fillId="6" borderId="86" xfId="0" applyFont="1" applyFill="1" applyBorder="1" applyAlignment="1">
      <alignment horizontal="center" vertical="center"/>
    </xf>
    <xf numFmtId="0" fontId="9" fillId="6" borderId="89" xfId="0" applyFont="1" applyFill="1" applyBorder="1" applyAlignment="1">
      <alignment horizontal="center" vertical="center"/>
    </xf>
    <xf numFmtId="0" fontId="5" fillId="6" borderId="35" xfId="0" applyFont="1" applyFill="1" applyBorder="1" applyAlignment="1">
      <alignment horizontal="center" vertical="center" wrapText="1"/>
    </xf>
    <xf numFmtId="0" fontId="5" fillId="6" borderId="46" xfId="0" applyFont="1" applyFill="1" applyBorder="1" applyAlignment="1">
      <alignment horizontal="center" vertical="center" wrapText="1"/>
    </xf>
    <xf numFmtId="0" fontId="5" fillId="6" borderId="44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6" borderId="87" xfId="0" applyFont="1" applyFill="1" applyBorder="1" applyAlignment="1">
      <alignment horizontal="center" vertical="center" wrapText="1"/>
    </xf>
    <xf numFmtId="0" fontId="5" fillId="6" borderId="88" xfId="0" applyFont="1" applyFill="1" applyBorder="1" applyAlignment="1">
      <alignment horizontal="center" vertical="center" wrapText="1"/>
    </xf>
    <xf numFmtId="0" fontId="6" fillId="6" borderId="42" xfId="0" applyFont="1" applyFill="1" applyBorder="1" applyAlignment="1" applyProtection="1">
      <alignment horizontal="center" vertical="center" wrapText="1"/>
      <protection locked="0"/>
    </xf>
    <xf numFmtId="0" fontId="6" fillId="6" borderId="43" xfId="0" applyFont="1" applyFill="1" applyBorder="1" applyAlignment="1" applyProtection="1">
      <alignment horizontal="center" vertical="center" wrapText="1"/>
      <protection locked="0"/>
    </xf>
    <xf numFmtId="0" fontId="6" fillId="6" borderId="17" xfId="0" applyFont="1" applyFill="1" applyBorder="1" applyAlignment="1" applyProtection="1">
      <alignment horizontal="center" vertical="center" wrapText="1"/>
      <protection locked="0"/>
    </xf>
    <xf numFmtId="0" fontId="0" fillId="5" borderId="89" xfId="0" applyFill="1" applyBorder="1" applyAlignment="1">
      <alignment horizontal="center" vertical="center"/>
    </xf>
    <xf numFmtId="0" fontId="0" fillId="5" borderId="92" xfId="0" applyFill="1" applyBorder="1" applyAlignment="1">
      <alignment horizontal="center" vertical="center"/>
    </xf>
    <xf numFmtId="0" fontId="11" fillId="5" borderId="10" xfId="0" applyFont="1" applyFill="1" applyBorder="1" applyAlignment="1" applyProtection="1">
      <alignment horizontal="center" vertical="center" wrapText="1"/>
      <protection locked="0"/>
    </xf>
    <xf numFmtId="0" fontId="11" fillId="5" borderId="14" xfId="0" applyFont="1" applyFill="1" applyBorder="1" applyAlignment="1" applyProtection="1">
      <alignment horizontal="center" vertical="center" wrapText="1"/>
      <protection locked="0"/>
    </xf>
    <xf numFmtId="0" fontId="11" fillId="5" borderId="57" xfId="0" applyFont="1" applyFill="1" applyBorder="1" applyAlignment="1" applyProtection="1">
      <alignment horizontal="center" vertical="center" wrapText="1"/>
      <protection locked="0"/>
    </xf>
    <xf numFmtId="0" fontId="11" fillId="5" borderId="32" xfId="0" applyFont="1" applyFill="1" applyBorder="1" applyAlignment="1" applyProtection="1">
      <alignment horizontal="center" vertical="center" wrapText="1"/>
      <protection locked="0"/>
    </xf>
    <xf numFmtId="0" fontId="11" fillId="5" borderId="29" xfId="0" applyFont="1" applyFill="1" applyBorder="1" applyAlignment="1" applyProtection="1">
      <alignment horizontal="center" vertical="center" wrapText="1"/>
      <protection locked="0"/>
    </xf>
    <xf numFmtId="0" fontId="11" fillId="5" borderId="93" xfId="0" applyFont="1" applyFill="1" applyBorder="1" applyAlignment="1" applyProtection="1">
      <alignment horizontal="center" vertical="center" wrapText="1"/>
      <protection locked="0"/>
    </xf>
    <xf numFmtId="0" fontId="0" fillId="5" borderId="24" xfId="0" applyFill="1" applyBorder="1" applyAlignment="1">
      <alignment horizontal="center" vertical="center" wrapText="1"/>
    </xf>
    <xf numFmtId="0" fontId="0" fillId="5" borderId="59" xfId="0" applyFill="1" applyBorder="1" applyAlignment="1">
      <alignment horizontal="center" vertical="center" wrapText="1"/>
    </xf>
    <xf numFmtId="0" fontId="6" fillId="5" borderId="24" xfId="0" applyFont="1" applyFill="1" applyBorder="1" applyAlignment="1" applyProtection="1">
      <alignment horizontal="center" vertical="center" wrapText="1"/>
      <protection locked="0"/>
    </xf>
    <xf numFmtId="0" fontId="6" fillId="5" borderId="59" xfId="0" applyFont="1" applyFill="1" applyBorder="1" applyAlignment="1" applyProtection="1">
      <alignment horizontal="center" vertical="center" wrapText="1"/>
      <protection locked="0"/>
    </xf>
    <xf numFmtId="0" fontId="0" fillId="5" borderId="57" xfId="0" applyFill="1" applyBorder="1" applyAlignment="1">
      <alignment horizontal="center" vertical="center" wrapText="1"/>
    </xf>
    <xf numFmtId="0" fontId="0" fillId="5" borderId="32" xfId="0" applyFill="1" applyBorder="1" applyAlignment="1">
      <alignment horizontal="center" vertical="center" wrapText="1"/>
    </xf>
    <xf numFmtId="0" fontId="32" fillId="0" borderId="57" xfId="0" applyFont="1" applyBorder="1" applyAlignment="1">
      <alignment horizontal="left" vertical="top" wrapText="1"/>
    </xf>
    <xf numFmtId="0" fontId="32" fillId="0" borderId="27" xfId="0" applyFont="1" applyBorder="1" applyAlignment="1">
      <alignment horizontal="left" vertical="top" wrapText="1"/>
    </xf>
    <xf numFmtId="0" fontId="43" fillId="0" borderId="13" xfId="0" applyFont="1" applyBorder="1" applyAlignment="1">
      <alignment vertical="center" wrapText="1"/>
    </xf>
    <xf numFmtId="0" fontId="43" fillId="0" borderId="57" xfId="0" applyFont="1" applyBorder="1" applyAlignment="1">
      <alignment vertical="center" wrapText="1"/>
    </xf>
    <xf numFmtId="0" fontId="43" fillId="0" borderId="27" xfId="0" applyFont="1" applyBorder="1" applyAlignment="1">
      <alignment vertical="center" wrapText="1"/>
    </xf>
    <xf numFmtId="0" fontId="29" fillId="0" borderId="69" xfId="0" applyFont="1" applyBorder="1" applyAlignment="1">
      <alignment horizontal="left" vertical="top" wrapText="1"/>
    </xf>
    <xf numFmtId="0" fontId="29" fillId="0" borderId="64" xfId="0" applyFont="1" applyBorder="1" applyAlignment="1">
      <alignment horizontal="left" vertical="top" wrapText="1"/>
    </xf>
    <xf numFmtId="0" fontId="29" fillId="0" borderId="76" xfId="0" applyFont="1" applyBorder="1" applyAlignment="1">
      <alignment horizontal="left" vertical="top" wrapText="1"/>
    </xf>
    <xf numFmtId="0" fontId="29" fillId="0" borderId="13" xfId="0" applyFont="1" applyBorder="1" applyAlignment="1">
      <alignment horizontal="left" vertical="top" wrapText="1"/>
    </xf>
    <xf numFmtId="0" fontId="29" fillId="0" borderId="57" xfId="0" applyFont="1" applyBorder="1" applyAlignment="1">
      <alignment horizontal="left" vertical="top" wrapText="1"/>
    </xf>
    <xf numFmtId="0" fontId="29" fillId="0" borderId="27" xfId="0" applyFont="1" applyBorder="1" applyAlignment="1">
      <alignment horizontal="left" vertical="top" wrapText="1"/>
    </xf>
    <xf numFmtId="0" fontId="43" fillId="0" borderId="71" xfId="0" applyFont="1" applyBorder="1" applyAlignment="1">
      <alignment vertical="center" wrapText="1"/>
    </xf>
    <xf numFmtId="0" fontId="43" fillId="0" borderId="99" xfId="0" applyFont="1" applyBorder="1" applyAlignment="1">
      <alignment vertical="center" wrapText="1"/>
    </xf>
    <xf numFmtId="0" fontId="43" fillId="0" borderId="100" xfId="0" applyFont="1" applyBorder="1" applyAlignment="1">
      <alignment vertical="center" wrapText="1"/>
    </xf>
    <xf numFmtId="0" fontId="32" fillId="8" borderId="0" xfId="0" applyFont="1" applyFill="1" applyAlignment="1">
      <alignment horizontal="left" vertical="top"/>
    </xf>
    <xf numFmtId="0" fontId="32" fillId="8" borderId="79" xfId="0" applyFont="1" applyFill="1" applyBorder="1" applyAlignment="1">
      <alignment horizontal="left" vertical="top"/>
    </xf>
    <xf numFmtId="0" fontId="32" fillId="0" borderId="102" xfId="0" applyFont="1" applyBorder="1" applyAlignment="1">
      <alignment horizontal="left" vertical="top" wrapText="1"/>
    </xf>
    <xf numFmtId="0" fontId="32" fillId="0" borderId="73" xfId="0" applyFont="1" applyBorder="1" applyAlignment="1">
      <alignment horizontal="left" vertical="top" wrapText="1"/>
    </xf>
    <xf numFmtId="0" fontId="32" fillId="0" borderId="103" xfId="0" applyFont="1" applyBorder="1" applyAlignment="1">
      <alignment horizontal="left" vertical="top" wrapText="1"/>
    </xf>
    <xf numFmtId="0" fontId="32" fillId="0" borderId="74" xfId="0" applyFont="1" applyBorder="1" applyAlignment="1">
      <alignment horizontal="left" vertical="top" wrapText="1"/>
    </xf>
    <xf numFmtId="0" fontId="32" fillId="0" borderId="70" xfId="0" applyFont="1" applyBorder="1" applyAlignment="1">
      <alignment horizontal="left" vertical="top" wrapText="1"/>
    </xf>
    <xf numFmtId="0" fontId="32" fillId="0" borderId="65" xfId="0" applyFont="1" applyBorder="1" applyAlignment="1">
      <alignment horizontal="left" vertical="top" wrapText="1"/>
    </xf>
    <xf numFmtId="0" fontId="32" fillId="0" borderId="80" xfId="0" applyFont="1" applyBorder="1" applyAlignment="1">
      <alignment horizontal="left" vertical="top" wrapText="1"/>
    </xf>
    <xf numFmtId="0" fontId="43" fillId="0" borderId="75" xfId="0" applyFont="1" applyBorder="1" applyAlignment="1">
      <alignment vertical="center" wrapText="1"/>
    </xf>
    <xf numFmtId="0" fontId="43" fillId="0" borderId="66" xfId="0" applyFont="1" applyBorder="1" applyAlignment="1">
      <alignment vertical="center" wrapText="1"/>
    </xf>
    <xf numFmtId="0" fontId="43" fillId="0" borderId="77" xfId="0" applyFont="1" applyBorder="1" applyAlignment="1">
      <alignment vertical="center" wrapText="1"/>
    </xf>
    <xf numFmtId="0" fontId="32" fillId="0" borderId="69" xfId="0" applyFont="1" applyBorder="1" applyAlignment="1">
      <alignment horizontal="left" vertical="top" wrapText="1"/>
    </xf>
    <xf numFmtId="0" fontId="32" fillId="0" borderId="64" xfId="0" applyFont="1" applyBorder="1" applyAlignment="1">
      <alignment horizontal="left" vertical="top" wrapText="1"/>
    </xf>
    <xf numFmtId="0" fontId="32" fillId="0" borderId="76" xfId="0" applyFont="1" applyBorder="1" applyAlignment="1">
      <alignment horizontal="left" vertical="top" wrapText="1"/>
    </xf>
    <xf numFmtId="0" fontId="32" fillId="0" borderId="72" xfId="0" applyFont="1" applyBorder="1" applyAlignment="1">
      <alignment horizontal="left" vertical="top" wrapText="1"/>
    </xf>
  </cellXfs>
  <cellStyles count="4">
    <cellStyle name="백분율" xfId="1" builtinId="5"/>
    <cellStyle name="표준" xfId="0" builtinId="0"/>
    <cellStyle name="표준_2010품질관리감리(226호감사반)" xfId="2" xr:uid="{96659C27-AAB6-4C5C-8C4C-DE860650FE74}"/>
    <cellStyle name="표준_정비후 검사징구자료(보험검사2국, 2004.8.)" xfId="3" xr:uid="{4D79BC09-171D-49FA-9DB5-4D0DC8B21F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709CE-28E4-4057-A2D3-92A6CDE772A4}">
  <sheetPr codeName="Sheet1"/>
  <dimension ref="A1:C47"/>
  <sheetViews>
    <sheetView showGridLines="0" zoomScale="85" zoomScaleNormal="85" workbookViewId="0">
      <selection activeCell="L30" sqref="L30"/>
    </sheetView>
  </sheetViews>
  <sheetFormatPr defaultColWidth="9" defaultRowHeight="17.600000000000001" x14ac:dyDescent="0.55000000000000004"/>
  <cols>
    <col min="1" max="1" width="21" style="166" customWidth="1"/>
    <col min="2" max="2" width="43.7109375" style="35" customWidth="1"/>
    <col min="3" max="3" width="9.7109375" style="35" customWidth="1"/>
    <col min="4" max="6" width="9" style="28"/>
    <col min="7" max="7" width="7.140625" style="28" bestFit="1" customWidth="1"/>
    <col min="8" max="16384" width="9" style="28"/>
  </cols>
  <sheetData>
    <row r="1" spans="1:3" ht="27" customHeight="1" thickBot="1" x14ac:dyDescent="0.6">
      <c r="A1" s="244" t="s">
        <v>3</v>
      </c>
      <c r="B1" s="245"/>
      <c r="C1" s="245"/>
    </row>
    <row r="2" spans="1:3" ht="18.45" thickBot="1" x14ac:dyDescent="0.6">
      <c r="A2" s="29" t="s">
        <v>4</v>
      </c>
      <c r="B2" s="30" t="s">
        <v>5</v>
      </c>
      <c r="C2" s="31" t="s">
        <v>6</v>
      </c>
    </row>
    <row r="3" spans="1:3" ht="18.45" thickBot="1" x14ac:dyDescent="0.6">
      <c r="A3" s="246" t="s">
        <v>7</v>
      </c>
      <c r="B3" s="247"/>
      <c r="C3" s="178">
        <f>C4+C23</f>
        <v>23</v>
      </c>
    </row>
    <row r="4" spans="1:3" ht="18" x14ac:dyDescent="0.55000000000000004">
      <c r="A4" s="236" t="s">
        <v>0</v>
      </c>
      <c r="B4" s="237"/>
      <c r="C4" s="186">
        <f>SUM(C5:C8)</f>
        <v>4</v>
      </c>
    </row>
    <row r="5" spans="1:3" ht="18" x14ac:dyDescent="0.55000000000000004">
      <c r="A5" s="180"/>
      <c r="B5" s="187" t="s">
        <v>8</v>
      </c>
      <c r="C5" s="188">
        <f>COUNTIF($C$9,"A")+COUNTIF($C$13,"A")+COUNTIF($C$17,"A")+COUNTIF($C$20,"A")</f>
        <v>2</v>
      </c>
    </row>
    <row r="6" spans="1:3" ht="18" x14ac:dyDescent="0.55000000000000004">
      <c r="A6" s="180"/>
      <c r="B6" s="189" t="s">
        <v>9</v>
      </c>
      <c r="C6" s="188">
        <f>COUNTIF($C$9,"B")+COUNTIF($C$13,"B")+COUNTIF($C$17,"B")+COUNTIF($C$20,"B")</f>
        <v>1</v>
      </c>
    </row>
    <row r="7" spans="1:3" ht="18" x14ac:dyDescent="0.55000000000000004">
      <c r="A7" s="180"/>
      <c r="B7" s="189" t="s">
        <v>10</v>
      </c>
      <c r="C7" s="188">
        <f>COUNTIF($C$9,"C")+COUNTIF($C$13,"C")+COUNTIF($C$17,"C")+COUNTIF($C$20,"C")</f>
        <v>1</v>
      </c>
    </row>
    <row r="8" spans="1:3" ht="18.45" thickBot="1" x14ac:dyDescent="0.6">
      <c r="A8" s="183"/>
      <c r="B8" s="190" t="s">
        <v>11</v>
      </c>
      <c r="C8" s="191">
        <f>COUNTIF($C$9,"D")+COUNTIF($C$13,"D")+COUNTIF($C$17,"D")+COUNTIF($C$20,"D")</f>
        <v>0</v>
      </c>
    </row>
    <row r="9" spans="1:3" ht="18" x14ac:dyDescent="0.55000000000000004">
      <c r="A9" s="242" t="s">
        <v>262</v>
      </c>
      <c r="B9" s="160" t="s">
        <v>240</v>
      </c>
      <c r="C9" s="159" t="s">
        <v>152</v>
      </c>
    </row>
    <row r="10" spans="1:3" ht="18" x14ac:dyDescent="0.55000000000000004">
      <c r="A10" s="242"/>
      <c r="B10" s="165" t="s">
        <v>258</v>
      </c>
      <c r="C10" s="32"/>
    </row>
    <row r="11" spans="1:3" ht="18" x14ac:dyDescent="0.55000000000000004">
      <c r="A11" s="242"/>
      <c r="B11" s="165" t="s">
        <v>241</v>
      </c>
      <c r="C11" s="32" t="s">
        <v>152</v>
      </c>
    </row>
    <row r="12" spans="1:3" ht="18.45" thickBot="1" x14ac:dyDescent="0.6">
      <c r="A12" s="242"/>
      <c r="B12" s="174" t="s">
        <v>259</v>
      </c>
      <c r="C12" s="175" t="s">
        <v>243</v>
      </c>
    </row>
    <row r="13" spans="1:3" ht="18" x14ac:dyDescent="0.55000000000000004">
      <c r="A13" s="242"/>
      <c r="B13" s="173" t="s">
        <v>151</v>
      </c>
      <c r="C13" s="170" t="s">
        <v>245</v>
      </c>
    </row>
    <row r="14" spans="1:3" ht="18" x14ac:dyDescent="0.55000000000000004">
      <c r="A14" s="242"/>
      <c r="B14" s="165" t="s">
        <v>237</v>
      </c>
      <c r="C14" s="32"/>
    </row>
    <row r="15" spans="1:3" ht="18" x14ac:dyDescent="0.55000000000000004">
      <c r="A15" s="242"/>
      <c r="B15" s="165" t="s">
        <v>238</v>
      </c>
      <c r="C15" s="32" t="s">
        <v>245</v>
      </c>
    </row>
    <row r="16" spans="1:3" ht="18.45" thickBot="1" x14ac:dyDescent="0.6">
      <c r="A16" s="243"/>
      <c r="B16" s="165" t="s">
        <v>239</v>
      </c>
      <c r="C16" s="32" t="s">
        <v>245</v>
      </c>
    </row>
    <row r="17" spans="1:3" ht="18" x14ac:dyDescent="0.55000000000000004">
      <c r="A17" s="238" t="s">
        <v>1</v>
      </c>
      <c r="B17" s="169" t="s">
        <v>234</v>
      </c>
      <c r="C17" s="170" t="s">
        <v>245</v>
      </c>
    </row>
    <row r="18" spans="1:3" ht="18" x14ac:dyDescent="0.55000000000000004">
      <c r="A18" s="232"/>
      <c r="B18" s="158" t="s">
        <v>235</v>
      </c>
      <c r="C18" s="33"/>
    </row>
    <row r="19" spans="1:3" ht="18.45" thickBot="1" x14ac:dyDescent="0.6">
      <c r="A19" s="233"/>
      <c r="B19" s="171" t="s">
        <v>236</v>
      </c>
      <c r="C19" s="172" t="s">
        <v>244</v>
      </c>
    </row>
    <row r="20" spans="1:3" ht="18" x14ac:dyDescent="0.55000000000000004">
      <c r="A20" s="232" t="s">
        <v>2</v>
      </c>
      <c r="B20" s="167" t="s">
        <v>257</v>
      </c>
      <c r="C20" s="168" t="s">
        <v>153</v>
      </c>
    </row>
    <row r="21" spans="1:3" ht="18" x14ac:dyDescent="0.55000000000000004">
      <c r="A21" s="232"/>
      <c r="B21" s="176" t="s">
        <v>242</v>
      </c>
      <c r="C21" s="177"/>
    </row>
    <row r="22" spans="1:3" ht="18.45" thickBot="1" x14ac:dyDescent="0.6">
      <c r="A22" s="233"/>
      <c r="B22" s="174" t="s">
        <v>273</v>
      </c>
      <c r="C22" s="36"/>
    </row>
    <row r="23" spans="1:3" ht="18" x14ac:dyDescent="0.55000000000000004">
      <c r="A23" s="236" t="s">
        <v>12</v>
      </c>
      <c r="B23" s="237"/>
      <c r="C23" s="179">
        <f>SUM(C26:C42)</f>
        <v>19</v>
      </c>
    </row>
    <row r="24" spans="1:3" ht="18" x14ac:dyDescent="0.55000000000000004">
      <c r="A24" s="180"/>
      <c r="B24" s="181" t="s">
        <v>13</v>
      </c>
      <c r="C24" s="182">
        <v>3</v>
      </c>
    </row>
    <row r="25" spans="1:3" ht="18.45" thickBot="1" x14ac:dyDescent="0.6">
      <c r="A25" s="183"/>
      <c r="B25" s="184" t="s">
        <v>14</v>
      </c>
      <c r="C25" s="185">
        <f>ROUND(C23/C24,1)</f>
        <v>6.3</v>
      </c>
    </row>
    <row r="26" spans="1:3" ht="18" x14ac:dyDescent="0.55000000000000004">
      <c r="A26" s="238" t="s">
        <v>15</v>
      </c>
      <c r="B26" s="37" t="s">
        <v>16</v>
      </c>
      <c r="C26" s="38">
        <v>0</v>
      </c>
    </row>
    <row r="27" spans="1:3" ht="18" x14ac:dyDescent="0.55000000000000004">
      <c r="A27" s="232"/>
      <c r="B27" s="41" t="s">
        <v>18</v>
      </c>
      <c r="C27" s="42">
        <v>2</v>
      </c>
    </row>
    <row r="28" spans="1:3" ht="18" x14ac:dyDescent="0.55000000000000004">
      <c r="A28" s="232"/>
      <c r="B28" s="41" t="s">
        <v>19</v>
      </c>
      <c r="C28" s="42">
        <v>2</v>
      </c>
    </row>
    <row r="29" spans="1:3" ht="18.45" thickBot="1" x14ac:dyDescent="0.6">
      <c r="A29" s="233"/>
      <c r="B29" s="44" t="s">
        <v>20</v>
      </c>
      <c r="C29" s="192">
        <v>0</v>
      </c>
    </row>
    <row r="30" spans="1:3" ht="18" x14ac:dyDescent="0.55000000000000004">
      <c r="A30" s="238" t="s">
        <v>21</v>
      </c>
      <c r="B30" s="37" t="s">
        <v>22</v>
      </c>
      <c r="C30" s="38">
        <v>1</v>
      </c>
    </row>
    <row r="31" spans="1:3" ht="18" x14ac:dyDescent="0.55000000000000004">
      <c r="A31" s="232"/>
      <c r="B31" s="41" t="s">
        <v>23</v>
      </c>
      <c r="C31" s="42">
        <v>2</v>
      </c>
    </row>
    <row r="32" spans="1:3" ht="18" x14ac:dyDescent="0.55000000000000004">
      <c r="A32" s="232"/>
      <c r="B32" s="41" t="s">
        <v>24</v>
      </c>
      <c r="C32" s="42">
        <v>2</v>
      </c>
    </row>
    <row r="33" spans="1:3" ht="18" x14ac:dyDescent="0.55000000000000004">
      <c r="A33" s="232"/>
      <c r="B33" s="41" t="s">
        <v>25</v>
      </c>
      <c r="C33" s="42">
        <v>0</v>
      </c>
    </row>
    <row r="34" spans="1:3" ht="18" x14ac:dyDescent="0.55000000000000004">
      <c r="A34" s="232"/>
      <c r="B34" s="41" t="s">
        <v>26</v>
      </c>
      <c r="C34" s="42">
        <v>2</v>
      </c>
    </row>
    <row r="35" spans="1:3" ht="18" x14ac:dyDescent="0.55000000000000004">
      <c r="A35" s="232"/>
      <c r="B35" s="41" t="s">
        <v>27</v>
      </c>
      <c r="C35" s="43">
        <v>0</v>
      </c>
    </row>
    <row r="36" spans="1:3" ht="18.45" thickBot="1" x14ac:dyDescent="0.6">
      <c r="A36" s="233"/>
      <c r="B36" s="44" t="s">
        <v>28</v>
      </c>
      <c r="C36" s="45">
        <v>3</v>
      </c>
    </row>
    <row r="37" spans="1:3" ht="18" x14ac:dyDescent="0.55000000000000004">
      <c r="A37" s="239" t="s">
        <v>29</v>
      </c>
      <c r="B37" s="37" t="s">
        <v>30</v>
      </c>
      <c r="C37" s="38">
        <v>1</v>
      </c>
    </row>
    <row r="38" spans="1:3" ht="18" x14ac:dyDescent="0.55000000000000004">
      <c r="A38" s="240"/>
      <c r="B38" s="41" t="s">
        <v>31</v>
      </c>
      <c r="C38" s="42">
        <v>2</v>
      </c>
    </row>
    <row r="39" spans="1:3" ht="18" x14ac:dyDescent="0.55000000000000004">
      <c r="A39" s="240"/>
      <c r="B39" s="41" t="s">
        <v>32</v>
      </c>
      <c r="C39" s="42">
        <v>1</v>
      </c>
    </row>
    <row r="40" spans="1:3" ht="18" x14ac:dyDescent="0.55000000000000004">
      <c r="A40" s="240"/>
      <c r="B40" s="39" t="s">
        <v>17</v>
      </c>
      <c r="C40" s="40">
        <v>0</v>
      </c>
    </row>
    <row r="41" spans="1:3" ht="18.45" thickBot="1" x14ac:dyDescent="0.6">
      <c r="A41" s="241"/>
      <c r="B41" s="198" t="s">
        <v>260</v>
      </c>
      <c r="C41" s="45">
        <v>1</v>
      </c>
    </row>
    <row r="42" spans="1:3" ht="36.450000000000003" thickBot="1" x14ac:dyDescent="0.6">
      <c r="A42" s="162" t="s">
        <v>33</v>
      </c>
      <c r="B42" s="194" t="s">
        <v>261</v>
      </c>
      <c r="C42" s="193">
        <v>0</v>
      </c>
    </row>
    <row r="43" spans="1:3" ht="18.45" thickBot="1" x14ac:dyDescent="0.6">
      <c r="A43" s="234" t="s">
        <v>34</v>
      </c>
      <c r="B43" s="235"/>
      <c r="C43" s="46"/>
    </row>
    <row r="44" spans="1:3" ht="18" x14ac:dyDescent="0.55000000000000004">
      <c r="A44" s="163" t="s">
        <v>35</v>
      </c>
      <c r="B44" s="47"/>
      <c r="C44" s="48">
        <v>0</v>
      </c>
    </row>
    <row r="45" spans="1:3" ht="18" x14ac:dyDescent="0.55000000000000004">
      <c r="A45" s="164" t="s">
        <v>36</v>
      </c>
      <c r="B45" s="34"/>
      <c r="C45" s="49">
        <v>0</v>
      </c>
    </row>
    <row r="46" spans="1:3" ht="18.45" thickBot="1" x14ac:dyDescent="0.6">
      <c r="A46" s="161" t="s">
        <v>37</v>
      </c>
      <c r="B46" s="50"/>
      <c r="C46" s="51">
        <v>0</v>
      </c>
    </row>
    <row r="47" spans="1:3" x14ac:dyDescent="0.55000000000000004">
      <c r="A47" s="166" t="s">
        <v>38</v>
      </c>
    </row>
  </sheetData>
  <mergeCells count="11">
    <mergeCell ref="A17:A19"/>
    <mergeCell ref="A9:A16"/>
    <mergeCell ref="A1:C1"/>
    <mergeCell ref="A3:B3"/>
    <mergeCell ref="A4:B4"/>
    <mergeCell ref="A20:A22"/>
    <mergeCell ref="A43:B43"/>
    <mergeCell ref="A23:B23"/>
    <mergeCell ref="A26:A29"/>
    <mergeCell ref="A30:A36"/>
    <mergeCell ref="A37:A41"/>
  </mergeCells>
  <phoneticPr fontId="2" type="noConversion"/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527A9-D215-4E8B-BA7C-4E7CCBA5D171}">
  <sheetPr codeName="Sheet2"/>
  <dimension ref="A1:I21"/>
  <sheetViews>
    <sheetView showGridLines="0" tabSelected="1" view="pageBreakPreview" zoomScale="90" zoomScaleNormal="90" zoomScaleSheetLayoutView="90" workbookViewId="0">
      <selection activeCell="I13" sqref="I13"/>
    </sheetView>
  </sheetViews>
  <sheetFormatPr defaultColWidth="9" defaultRowHeight="17.600000000000001" x14ac:dyDescent="0.55000000000000004"/>
  <cols>
    <col min="1" max="1" width="16.140625" style="134" customWidth="1"/>
    <col min="2" max="2" width="14.2109375" style="134" customWidth="1"/>
    <col min="3" max="3" width="13.640625" style="134" customWidth="1"/>
    <col min="4" max="4" width="11.35546875" style="134" customWidth="1"/>
    <col min="5" max="5" width="12.7109375" style="134" customWidth="1"/>
    <col min="6" max="6" width="12.140625" style="134" customWidth="1"/>
    <col min="7" max="7" width="12.2109375" style="134" customWidth="1"/>
    <col min="8" max="8" width="1.7109375" style="134" customWidth="1"/>
    <col min="9" max="9" width="72.140625" style="134" customWidth="1"/>
    <col min="10" max="16384" width="9" style="28"/>
  </cols>
  <sheetData>
    <row r="1" spans="1:9" ht="34.299999999999997" customHeight="1" x14ac:dyDescent="0.55000000000000004">
      <c r="A1" s="263" t="s">
        <v>39</v>
      </c>
      <c r="B1" s="263"/>
      <c r="C1" s="263"/>
      <c r="D1" s="263"/>
      <c r="E1" s="263"/>
      <c r="F1" s="263"/>
      <c r="G1" s="263"/>
      <c r="H1" s="119"/>
      <c r="I1" s="119"/>
    </row>
    <row r="3" spans="1:9" ht="21.65" customHeight="1" thickBot="1" x14ac:dyDescent="0.6">
      <c r="A3" s="120" t="str">
        <f>"회계법인 명 : "&amp;지정요건검토!A7</f>
        <v>회계법인 명 : ㅇㅇ회계법인</v>
      </c>
      <c r="B3" s="120"/>
      <c r="C3" s="120"/>
      <c r="D3" s="120"/>
      <c r="E3" s="120"/>
      <c r="F3" s="120"/>
      <c r="G3" s="121" t="s">
        <v>115</v>
      </c>
      <c r="H3" s="121"/>
      <c r="I3" s="120"/>
    </row>
    <row r="4" spans="1:9" s="125" customFormat="1" ht="23.25" customHeight="1" thickBot="1" x14ac:dyDescent="0.6">
      <c r="A4" s="122" t="s">
        <v>40</v>
      </c>
      <c r="B4" s="264" t="s">
        <v>41</v>
      </c>
      <c r="C4" s="264"/>
      <c r="D4" s="264"/>
      <c r="E4" s="264"/>
      <c r="F4" s="264"/>
      <c r="G4" s="265"/>
      <c r="H4" s="123"/>
      <c r="I4" s="124" t="s">
        <v>116</v>
      </c>
    </row>
    <row r="5" spans="1:9" s="125" customFormat="1" ht="24" customHeight="1" thickTop="1" thickBot="1" x14ac:dyDescent="0.6">
      <c r="A5" s="252" t="s">
        <v>42</v>
      </c>
      <c r="B5" s="253"/>
      <c r="C5" s="253"/>
      <c r="D5" s="253"/>
      <c r="E5" s="253"/>
      <c r="F5" s="253"/>
      <c r="G5" s="254"/>
      <c r="H5" s="126"/>
      <c r="I5" s="127"/>
    </row>
    <row r="6" spans="1:9" s="134" customFormat="1" ht="32.25" customHeight="1" thickTop="1" x14ac:dyDescent="0.55000000000000004">
      <c r="A6" s="128" t="s">
        <v>43</v>
      </c>
      <c r="B6" s="129" t="s">
        <v>44</v>
      </c>
      <c r="C6" s="130">
        <v>2</v>
      </c>
      <c r="D6" s="131" t="s">
        <v>45</v>
      </c>
      <c r="E6" s="130">
        <v>2</v>
      </c>
      <c r="F6" s="131" t="s">
        <v>46</v>
      </c>
      <c r="G6" s="132" t="s">
        <v>47</v>
      </c>
      <c r="H6" s="125"/>
      <c r="I6" s="133" t="s">
        <v>117</v>
      </c>
    </row>
    <row r="7" spans="1:9" s="134" customFormat="1" ht="40.5" customHeight="1" x14ac:dyDescent="0.55000000000000004">
      <c r="A7" s="135" t="s">
        <v>48</v>
      </c>
      <c r="B7" s="261" t="s">
        <v>118</v>
      </c>
      <c r="C7" s="261"/>
      <c r="D7" s="261"/>
      <c r="E7" s="261"/>
      <c r="F7" s="261"/>
      <c r="G7" s="262"/>
      <c r="H7" s="125"/>
      <c r="I7" s="136" t="s">
        <v>119</v>
      </c>
    </row>
    <row r="8" spans="1:9" s="134" customFormat="1" ht="32.25" customHeight="1" x14ac:dyDescent="0.55000000000000004">
      <c r="A8" s="135" t="s">
        <v>49</v>
      </c>
      <c r="B8" s="222" t="s">
        <v>50</v>
      </c>
      <c r="C8" s="266">
        <v>3</v>
      </c>
      <c r="D8" s="266"/>
      <c r="E8" s="222" t="s">
        <v>51</v>
      </c>
      <c r="F8" s="266" t="s">
        <v>47</v>
      </c>
      <c r="G8" s="267"/>
      <c r="H8" s="125"/>
    </row>
    <row r="9" spans="1:9" s="134" customFormat="1" ht="53.05" customHeight="1" thickBot="1" x14ac:dyDescent="0.6">
      <c r="A9" s="135" t="s">
        <v>275</v>
      </c>
      <c r="B9" s="273"/>
      <c r="C9" s="274"/>
      <c r="D9" s="274"/>
      <c r="E9" s="274"/>
      <c r="F9" s="274"/>
      <c r="G9" s="275"/>
      <c r="H9" s="223"/>
      <c r="I9" s="224" t="s">
        <v>276</v>
      </c>
    </row>
    <row r="10" spans="1:9" s="134" customFormat="1" ht="24" customHeight="1" thickTop="1" thickBot="1" x14ac:dyDescent="0.6">
      <c r="A10" s="252" t="s">
        <v>52</v>
      </c>
      <c r="B10" s="253"/>
      <c r="C10" s="253"/>
      <c r="D10" s="253"/>
      <c r="E10" s="253"/>
      <c r="F10" s="253"/>
      <c r="G10" s="254"/>
      <c r="H10" s="126"/>
      <c r="I10" s="126"/>
    </row>
    <row r="11" spans="1:9" s="134" customFormat="1" ht="32.25" customHeight="1" thickTop="1" x14ac:dyDescent="0.55000000000000004">
      <c r="A11" s="128" t="s">
        <v>53</v>
      </c>
      <c r="B11" s="129" t="s">
        <v>54</v>
      </c>
      <c r="C11" s="130">
        <v>15</v>
      </c>
      <c r="D11" s="131" t="s">
        <v>55</v>
      </c>
      <c r="E11" s="130">
        <v>10</v>
      </c>
      <c r="F11" s="131" t="s">
        <v>56</v>
      </c>
      <c r="G11" s="137">
        <v>0.66666666666666663</v>
      </c>
      <c r="H11" s="138"/>
      <c r="I11" s="133" t="s">
        <v>120</v>
      </c>
    </row>
    <row r="12" spans="1:9" s="134" customFormat="1" ht="34.5" customHeight="1" x14ac:dyDescent="0.55000000000000004">
      <c r="A12" s="139" t="s">
        <v>57</v>
      </c>
      <c r="B12" s="268" t="s">
        <v>121</v>
      </c>
      <c r="C12" s="268"/>
      <c r="D12" s="268"/>
      <c r="E12" s="268"/>
      <c r="F12" s="268"/>
      <c r="G12" s="269"/>
      <c r="H12" s="138"/>
      <c r="I12" s="136" t="s">
        <v>122</v>
      </c>
    </row>
    <row r="13" spans="1:9" s="134" customFormat="1" ht="70.3" customHeight="1" thickBot="1" x14ac:dyDescent="0.6">
      <c r="A13" s="225" t="s">
        <v>49</v>
      </c>
      <c r="B13" s="250" t="s">
        <v>277</v>
      </c>
      <c r="C13" s="250"/>
      <c r="D13" s="250"/>
      <c r="E13" s="250"/>
      <c r="F13" s="250"/>
      <c r="G13" s="251"/>
      <c r="H13" s="125"/>
      <c r="I13" s="136" t="s">
        <v>280</v>
      </c>
    </row>
    <row r="14" spans="1:9" s="134" customFormat="1" ht="24" customHeight="1" thickTop="1" thickBot="1" x14ac:dyDescent="0.6">
      <c r="A14" s="252" t="s">
        <v>58</v>
      </c>
      <c r="B14" s="253"/>
      <c r="C14" s="253"/>
      <c r="D14" s="253"/>
      <c r="E14" s="253"/>
      <c r="F14" s="253"/>
      <c r="G14" s="254"/>
      <c r="H14" s="126"/>
      <c r="I14" s="126"/>
    </row>
    <row r="15" spans="1:9" s="134" customFormat="1" ht="32.25" customHeight="1" thickTop="1" x14ac:dyDescent="0.55000000000000004">
      <c r="A15" s="128" t="s">
        <v>59</v>
      </c>
      <c r="B15" s="131" t="s">
        <v>60</v>
      </c>
      <c r="C15" s="130">
        <v>50</v>
      </c>
      <c r="D15" s="131" t="s">
        <v>61</v>
      </c>
      <c r="E15" s="130">
        <v>3</v>
      </c>
      <c r="F15" s="131" t="s">
        <v>56</v>
      </c>
      <c r="G15" s="137">
        <v>0.06</v>
      </c>
      <c r="H15" s="138"/>
      <c r="I15" s="140"/>
    </row>
    <row r="16" spans="1:9" s="134" customFormat="1" ht="55.5" customHeight="1" x14ac:dyDescent="0.55000000000000004">
      <c r="A16" s="135" t="s">
        <v>62</v>
      </c>
      <c r="B16" s="270" t="s">
        <v>123</v>
      </c>
      <c r="C16" s="271"/>
      <c r="D16" s="271"/>
      <c r="E16" s="271"/>
      <c r="F16" s="271"/>
      <c r="G16" s="272"/>
      <c r="H16" s="125"/>
      <c r="I16" s="136" t="s">
        <v>124</v>
      </c>
    </row>
    <row r="17" spans="1:9" s="134" customFormat="1" ht="53.25" customHeight="1" x14ac:dyDescent="0.55000000000000004">
      <c r="A17" s="135" t="s">
        <v>63</v>
      </c>
      <c r="B17" s="261" t="s">
        <v>125</v>
      </c>
      <c r="C17" s="261"/>
      <c r="D17" s="261"/>
      <c r="E17" s="261"/>
      <c r="F17" s="261"/>
      <c r="G17" s="262"/>
      <c r="H17" s="125"/>
      <c r="I17" s="136" t="s">
        <v>126</v>
      </c>
    </row>
    <row r="18" spans="1:9" s="134" customFormat="1" ht="60" customHeight="1" thickBot="1" x14ac:dyDescent="0.6">
      <c r="A18" s="141" t="s">
        <v>64</v>
      </c>
      <c r="B18" s="250" t="s">
        <v>127</v>
      </c>
      <c r="C18" s="250"/>
      <c r="D18" s="250"/>
      <c r="E18" s="250"/>
      <c r="F18" s="250"/>
      <c r="G18" s="251"/>
      <c r="H18" s="125"/>
      <c r="I18" s="136" t="s">
        <v>128</v>
      </c>
    </row>
    <row r="19" spans="1:9" s="134" customFormat="1" ht="24" customHeight="1" thickTop="1" thickBot="1" x14ac:dyDescent="0.6">
      <c r="A19" s="252" t="s">
        <v>65</v>
      </c>
      <c r="B19" s="253"/>
      <c r="C19" s="253"/>
      <c r="D19" s="253"/>
      <c r="E19" s="253"/>
      <c r="F19" s="253"/>
      <c r="G19" s="254"/>
      <c r="H19" s="126"/>
      <c r="I19" s="126"/>
    </row>
    <row r="20" spans="1:9" s="134" customFormat="1" ht="24" customHeight="1" thickTop="1" x14ac:dyDescent="0.55000000000000004">
      <c r="A20" s="255" t="s">
        <v>66</v>
      </c>
      <c r="B20" s="257" t="s">
        <v>67</v>
      </c>
      <c r="C20" s="257"/>
      <c r="D20" s="257"/>
      <c r="E20" s="257"/>
      <c r="F20" s="257"/>
      <c r="G20" s="258"/>
      <c r="H20" s="125"/>
      <c r="I20" s="248" t="s">
        <v>154</v>
      </c>
    </row>
    <row r="21" spans="1:9" s="134" customFormat="1" ht="118.3" customHeight="1" thickBot="1" x14ac:dyDescent="0.6">
      <c r="A21" s="256"/>
      <c r="B21" s="259" t="s">
        <v>129</v>
      </c>
      <c r="C21" s="259"/>
      <c r="D21" s="259"/>
      <c r="E21" s="259"/>
      <c r="F21" s="259"/>
      <c r="G21" s="260"/>
      <c r="I21" s="249"/>
    </row>
  </sheetData>
  <mergeCells count="19">
    <mergeCell ref="B17:G17"/>
    <mergeCell ref="A1:G1"/>
    <mergeCell ref="B4:G4"/>
    <mergeCell ref="A5:G5"/>
    <mergeCell ref="B7:G7"/>
    <mergeCell ref="C8:D8"/>
    <mergeCell ref="F8:G8"/>
    <mergeCell ref="A10:G10"/>
    <mergeCell ref="B12:G12"/>
    <mergeCell ref="B13:G13"/>
    <mergeCell ref="A14:G14"/>
    <mergeCell ref="B16:G16"/>
    <mergeCell ref="B9:G9"/>
    <mergeCell ref="I20:I21"/>
    <mergeCell ref="B18:G18"/>
    <mergeCell ref="A19:G19"/>
    <mergeCell ref="A20:A21"/>
    <mergeCell ref="B20:G20"/>
    <mergeCell ref="B21:G21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85" orientation="portrait" r:id="rId1"/>
  <ignoredErrors>
    <ignoredError sqref="A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0B7-355F-42DE-AE8C-CA626C516D66}">
  <sheetPr codeName="Sheet3"/>
  <dimension ref="A1:R20"/>
  <sheetViews>
    <sheetView showGridLines="0" workbookViewId="0"/>
  </sheetViews>
  <sheetFormatPr defaultRowHeight="17.600000000000001" x14ac:dyDescent="0.55000000000000004"/>
  <cols>
    <col min="1" max="1" width="11.85546875" style="3" customWidth="1"/>
    <col min="2" max="3" width="13.2109375" style="3" customWidth="1"/>
    <col min="4" max="4" width="15.35546875" style="3" customWidth="1"/>
    <col min="5" max="5" width="9" style="3" bestFit="1" customWidth="1"/>
    <col min="6" max="9" width="9" style="3"/>
    <col min="10" max="10" width="13.35546875" style="3" customWidth="1"/>
    <col min="11" max="11" width="11.35546875" style="3" customWidth="1"/>
    <col min="12" max="12" width="11.140625" style="3" customWidth="1"/>
    <col min="13" max="13" width="13.7109375" style="3" customWidth="1"/>
    <col min="14" max="14" width="10.85546875" style="3" customWidth="1"/>
    <col min="15" max="15" width="11.85546875" style="3" customWidth="1"/>
    <col min="16" max="18" width="0" hidden="1" customWidth="1"/>
  </cols>
  <sheetData>
    <row r="1" spans="1:18" s="3" customFormat="1" x14ac:dyDescent="0.55000000000000004">
      <c r="A1" s="2" t="s">
        <v>92</v>
      </c>
      <c r="P1" s="1"/>
      <c r="Q1" s="1"/>
      <c r="R1" s="1"/>
    </row>
    <row r="2" spans="1:18" s="3" customFormat="1" x14ac:dyDescent="0.55000000000000004">
      <c r="A2" s="4"/>
      <c r="P2" s="1"/>
      <c r="Q2" s="1"/>
      <c r="R2" s="1"/>
    </row>
    <row r="3" spans="1:18" s="3" customFormat="1" ht="12" customHeight="1" x14ac:dyDescent="0.55000000000000004">
      <c r="A3" s="4"/>
      <c r="P3" s="1"/>
      <c r="Q3" s="1"/>
      <c r="R3" s="1"/>
    </row>
    <row r="4" spans="1:18" s="3" customFormat="1" ht="12" customHeight="1" thickBot="1" x14ac:dyDescent="0.6">
      <c r="P4" s="1"/>
      <c r="Q4" s="1"/>
      <c r="R4" s="1"/>
    </row>
    <row r="5" spans="1:18" s="3" customFormat="1" ht="30.65" customHeight="1" x14ac:dyDescent="0.55000000000000004">
      <c r="A5" s="278" t="s">
        <v>93</v>
      </c>
      <c r="B5" s="280" t="s">
        <v>94</v>
      </c>
      <c r="C5" s="281"/>
      <c r="D5" s="281"/>
      <c r="E5" s="282"/>
      <c r="F5" s="283" t="s">
        <v>95</v>
      </c>
      <c r="G5" s="284"/>
      <c r="H5" s="284"/>
      <c r="I5" s="285"/>
      <c r="J5" s="286" t="s">
        <v>142</v>
      </c>
      <c r="K5" s="287"/>
      <c r="L5" s="287"/>
      <c r="M5" s="287"/>
      <c r="N5" s="287"/>
      <c r="O5" s="288"/>
      <c r="P5" s="1"/>
      <c r="Q5" s="1"/>
      <c r="R5" s="1"/>
    </row>
    <row r="6" spans="1:18" s="3" customFormat="1" ht="50.15" thickBot="1" x14ac:dyDescent="0.6">
      <c r="A6" s="279"/>
      <c r="B6" s="5" t="s">
        <v>96</v>
      </c>
      <c r="C6" s="6" t="s">
        <v>143</v>
      </c>
      <c r="D6" s="23" t="s">
        <v>144</v>
      </c>
      <c r="E6" s="24" t="s">
        <v>97</v>
      </c>
      <c r="F6" s="5" t="s">
        <v>98</v>
      </c>
      <c r="G6" s="8" t="s">
        <v>145</v>
      </c>
      <c r="H6" s="6" t="s">
        <v>146</v>
      </c>
      <c r="I6" s="7" t="s">
        <v>147</v>
      </c>
      <c r="J6" s="5" t="s">
        <v>99</v>
      </c>
      <c r="K6" s="6" t="s">
        <v>100</v>
      </c>
      <c r="L6" s="6" t="s">
        <v>148</v>
      </c>
      <c r="M6" s="6" t="s">
        <v>101</v>
      </c>
      <c r="N6" s="9" t="s">
        <v>113</v>
      </c>
      <c r="O6" s="10" t="s">
        <v>97</v>
      </c>
      <c r="P6" s="1"/>
      <c r="R6" s="1" t="s">
        <v>102</v>
      </c>
    </row>
    <row r="7" spans="1:18" s="21" customFormat="1" ht="25.3" thickBot="1" x14ac:dyDescent="0.6">
      <c r="A7" s="11" t="s">
        <v>132</v>
      </c>
      <c r="B7" s="12" t="s">
        <v>133</v>
      </c>
      <c r="C7" s="13" t="s">
        <v>134</v>
      </c>
      <c r="D7" s="14" t="s">
        <v>102</v>
      </c>
      <c r="E7" s="15" t="s">
        <v>90</v>
      </c>
      <c r="F7" s="16" t="s">
        <v>90</v>
      </c>
      <c r="G7" s="25" t="s">
        <v>135</v>
      </c>
      <c r="H7" s="25" t="s">
        <v>90</v>
      </c>
      <c r="I7" s="15" t="s">
        <v>90</v>
      </c>
      <c r="J7" s="18" t="s">
        <v>130</v>
      </c>
      <c r="K7" s="17" t="s">
        <v>103</v>
      </c>
      <c r="L7" s="17" t="s">
        <v>136</v>
      </c>
      <c r="M7" s="17">
        <v>15</v>
      </c>
      <c r="N7" s="17" t="s">
        <v>102</v>
      </c>
      <c r="O7" s="15" t="s">
        <v>102</v>
      </c>
      <c r="P7" s="19"/>
      <c r="Q7" s="19"/>
      <c r="R7" s="19" t="s">
        <v>107</v>
      </c>
    </row>
    <row r="8" spans="1:18" s="3" customFormat="1" x14ac:dyDescent="0.55000000000000004">
      <c r="A8" s="289" t="s">
        <v>137</v>
      </c>
      <c r="B8" s="291" t="s">
        <v>133</v>
      </c>
      <c r="C8" s="293" t="s">
        <v>134</v>
      </c>
      <c r="D8" s="295" t="s">
        <v>102</v>
      </c>
      <c r="E8" s="276" t="s">
        <v>90</v>
      </c>
      <c r="F8" s="297" t="s">
        <v>90</v>
      </c>
      <c r="G8" s="26" t="s">
        <v>135</v>
      </c>
      <c r="H8" s="26" t="s">
        <v>90</v>
      </c>
      <c r="I8" s="276" t="s">
        <v>91</v>
      </c>
      <c r="J8" s="299" t="s">
        <v>131</v>
      </c>
      <c r="K8" s="301" t="s">
        <v>138</v>
      </c>
      <c r="L8" s="301" t="s">
        <v>136</v>
      </c>
      <c r="M8" s="301">
        <v>15</v>
      </c>
      <c r="N8" s="301" t="s">
        <v>102</v>
      </c>
      <c r="O8" s="276" t="s">
        <v>102</v>
      </c>
      <c r="P8" s="19"/>
      <c r="Q8" s="19"/>
      <c r="R8" s="19" t="s">
        <v>107</v>
      </c>
    </row>
    <row r="9" spans="1:18" s="3" customFormat="1" ht="18" thickBot="1" x14ac:dyDescent="0.6">
      <c r="A9" s="290"/>
      <c r="B9" s="292"/>
      <c r="C9" s="294"/>
      <c r="D9" s="296"/>
      <c r="E9" s="277"/>
      <c r="F9" s="298"/>
      <c r="G9" s="27" t="s">
        <v>139</v>
      </c>
      <c r="H9" s="27" t="s">
        <v>91</v>
      </c>
      <c r="I9" s="277"/>
      <c r="J9" s="300"/>
      <c r="K9" s="302"/>
      <c r="L9" s="302"/>
      <c r="M9" s="302"/>
      <c r="N9" s="302"/>
      <c r="O9" s="277"/>
      <c r="P9" s="19"/>
      <c r="Q9" s="19"/>
      <c r="R9" s="19"/>
    </row>
    <row r="10" spans="1:18" s="3" customFormat="1" x14ac:dyDescent="0.55000000000000004">
      <c r="P10" s="1"/>
      <c r="Q10" s="1" t="s">
        <v>140</v>
      </c>
      <c r="R10" s="1" t="s">
        <v>103</v>
      </c>
    </row>
    <row r="11" spans="1:18" s="3" customFormat="1" x14ac:dyDescent="0.55000000000000004">
      <c r="P11" s="1"/>
      <c r="Q11" s="1"/>
      <c r="R11" s="1"/>
    </row>
    <row r="12" spans="1:18" s="3" customFormat="1" x14ac:dyDescent="0.55000000000000004">
      <c r="B12" s="3" t="s">
        <v>104</v>
      </c>
      <c r="P12" s="1"/>
      <c r="Q12" s="1"/>
      <c r="R12" s="1"/>
    </row>
    <row r="13" spans="1:18" s="3" customFormat="1" x14ac:dyDescent="0.55000000000000004">
      <c r="B13" s="3" t="s">
        <v>105</v>
      </c>
      <c r="P13" s="20"/>
      <c r="Q13" s="22"/>
      <c r="R13" s="1"/>
    </row>
    <row r="14" spans="1:18" s="3" customFormat="1" ht="15" hidden="1" customHeight="1" x14ac:dyDescent="0.55000000000000004">
      <c r="D14" s="3" t="s">
        <v>102</v>
      </c>
      <c r="J14" s="3" t="s">
        <v>106</v>
      </c>
      <c r="P14" s="20"/>
      <c r="Q14" s="20"/>
      <c r="R14" s="1"/>
    </row>
    <row r="15" spans="1:18" s="3" customFormat="1" hidden="1" x14ac:dyDescent="0.55000000000000004">
      <c r="D15" s="3" t="s">
        <v>107</v>
      </c>
      <c r="J15" s="3" t="s">
        <v>108</v>
      </c>
    </row>
    <row r="16" spans="1:18" s="3" customFormat="1" hidden="1" x14ac:dyDescent="0.55000000000000004">
      <c r="J16" s="3" t="s">
        <v>109</v>
      </c>
    </row>
    <row r="17" spans="2:2" s="3" customFormat="1" x14ac:dyDescent="0.55000000000000004">
      <c r="B17" s="3" t="s">
        <v>110</v>
      </c>
    </row>
    <row r="18" spans="2:2" s="3" customFormat="1" x14ac:dyDescent="0.55000000000000004">
      <c r="B18" s="3" t="s">
        <v>111</v>
      </c>
    </row>
    <row r="19" spans="2:2" s="3" customFormat="1" x14ac:dyDescent="0.55000000000000004">
      <c r="B19" s="3" t="s">
        <v>141</v>
      </c>
    </row>
    <row r="20" spans="2:2" s="3" customFormat="1" x14ac:dyDescent="0.55000000000000004">
      <c r="B20" s="3" t="s">
        <v>112</v>
      </c>
    </row>
  </sheetData>
  <mergeCells count="17">
    <mergeCell ref="N8:N9"/>
    <mergeCell ref="O8:O9"/>
    <mergeCell ref="A5:A6"/>
    <mergeCell ref="B5:E5"/>
    <mergeCell ref="F5:I5"/>
    <mergeCell ref="J5:O5"/>
    <mergeCell ref="A8:A9"/>
    <mergeCell ref="B8:B9"/>
    <mergeCell ref="C8:C9"/>
    <mergeCell ref="D8:D9"/>
    <mergeCell ref="E8:E9"/>
    <mergeCell ref="F8:F9"/>
    <mergeCell ref="I8:I9"/>
    <mergeCell ref="J8:J9"/>
    <mergeCell ref="K8:K9"/>
    <mergeCell ref="L8:L9"/>
    <mergeCell ref="M8:M9"/>
  </mergeCells>
  <phoneticPr fontId="2" type="noConversion"/>
  <dataValidations count="1">
    <dataValidation type="list" allowBlank="1" showInputMessage="1" showErrorMessage="1" sqref="D7 E7 D8:D9 E8:E9 F7 F8:F9 H7 I8:I9 N7 N8:N9 O7 O8:O9" xr:uid="{D4FD075E-368A-4E98-AF82-9F74D8C0BB5D}">
      <formula1>$D$14:$D$15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F3366-6DE2-47F6-B03F-40B46B785544}">
  <sheetPr codeName="Sheet4"/>
  <dimension ref="A1:E105"/>
  <sheetViews>
    <sheetView showGridLines="0" zoomScale="115" zoomScaleNormal="115" zoomScaleSheetLayoutView="130" workbookViewId="0">
      <selection activeCell="E86" sqref="E86"/>
    </sheetView>
  </sheetViews>
  <sheetFormatPr defaultColWidth="9" defaultRowHeight="17.600000000000001" x14ac:dyDescent="0.55000000000000004"/>
  <cols>
    <col min="1" max="1" width="28" style="28" customWidth="1"/>
    <col min="2" max="2" width="65.2109375" style="28" customWidth="1"/>
    <col min="3" max="3" width="27.85546875" style="35" customWidth="1"/>
    <col min="4" max="16384" width="9" style="28"/>
  </cols>
  <sheetData>
    <row r="1" spans="1:3" ht="23.25" customHeight="1" x14ac:dyDescent="0.55000000000000004">
      <c r="A1" s="62" t="s">
        <v>68</v>
      </c>
      <c r="B1" s="62"/>
      <c r="C1" s="62"/>
    </row>
    <row r="2" spans="1:3" s="93" customFormat="1" ht="20.25" customHeight="1" x14ac:dyDescent="0.55000000000000004">
      <c r="A2" s="63" t="s">
        <v>72</v>
      </c>
      <c r="B2" s="63"/>
      <c r="C2" s="63"/>
    </row>
    <row r="3" spans="1:3" s="91" customFormat="1" ht="18.75" customHeight="1" x14ac:dyDescent="0.55000000000000004">
      <c r="A3" s="64" t="s">
        <v>70</v>
      </c>
      <c r="B3" s="90" t="s">
        <v>71</v>
      </c>
      <c r="C3" s="65" t="s">
        <v>69</v>
      </c>
    </row>
    <row r="4" spans="1:3" ht="29.5" customHeight="1" x14ac:dyDescent="0.55000000000000004">
      <c r="A4" s="303" t="s">
        <v>149</v>
      </c>
      <c r="B4" s="217" t="s">
        <v>156</v>
      </c>
      <c r="C4" s="305"/>
    </row>
    <row r="5" spans="1:3" ht="16.3" customHeight="1" x14ac:dyDescent="0.55000000000000004">
      <c r="A5" s="303"/>
      <c r="B5" s="94" t="s">
        <v>73</v>
      </c>
      <c r="C5" s="306"/>
    </row>
    <row r="6" spans="1:3" ht="16.3" customHeight="1" x14ac:dyDescent="0.55000000000000004">
      <c r="A6" s="303"/>
      <c r="B6" s="94" t="s">
        <v>74</v>
      </c>
      <c r="C6" s="306"/>
    </row>
    <row r="7" spans="1:3" ht="16.3" customHeight="1" x14ac:dyDescent="0.55000000000000004">
      <c r="A7" s="303"/>
      <c r="B7" s="95" t="s">
        <v>75</v>
      </c>
      <c r="C7" s="306"/>
    </row>
    <row r="8" spans="1:3" ht="16.3" customHeight="1" x14ac:dyDescent="0.55000000000000004">
      <c r="A8" s="304"/>
      <c r="B8" s="96" t="s">
        <v>76</v>
      </c>
      <c r="C8" s="307"/>
    </row>
    <row r="9" spans="1:3" s="93" customFormat="1" ht="20.25" customHeight="1" x14ac:dyDescent="0.55000000000000004">
      <c r="A9" s="63" t="s">
        <v>246</v>
      </c>
      <c r="B9" s="63"/>
      <c r="C9" s="63"/>
    </row>
    <row r="10" spans="1:3" s="91" customFormat="1" ht="18.75" customHeight="1" x14ac:dyDescent="0.55000000000000004">
      <c r="A10" s="103" t="s">
        <v>70</v>
      </c>
      <c r="B10" s="90" t="s">
        <v>71</v>
      </c>
      <c r="C10" s="65" t="s">
        <v>69</v>
      </c>
    </row>
    <row r="11" spans="1:3" x14ac:dyDescent="0.55000000000000004">
      <c r="A11" s="153" t="s">
        <v>150</v>
      </c>
      <c r="B11" s="154"/>
      <c r="C11" s="155"/>
    </row>
    <row r="12" spans="1:3" ht="45" x14ac:dyDescent="0.55000000000000004">
      <c r="A12" s="311" t="s">
        <v>266</v>
      </c>
      <c r="B12" s="200" t="s">
        <v>196</v>
      </c>
      <c r="C12" s="99"/>
    </row>
    <row r="13" spans="1:3" ht="30" x14ac:dyDescent="0.55000000000000004">
      <c r="A13" s="312"/>
      <c r="B13" s="107" t="s">
        <v>197</v>
      </c>
      <c r="C13" s="106"/>
    </row>
    <row r="14" spans="1:3" x14ac:dyDescent="0.55000000000000004">
      <c r="A14" s="312"/>
      <c r="B14" s="108" t="s">
        <v>251</v>
      </c>
      <c r="C14" s="150"/>
    </row>
    <row r="15" spans="1:3" ht="30" x14ac:dyDescent="0.55000000000000004">
      <c r="A15" s="312"/>
      <c r="B15" s="206" t="s">
        <v>198</v>
      </c>
      <c r="C15" s="106"/>
    </row>
    <row r="16" spans="1:3" ht="30" x14ac:dyDescent="0.55000000000000004">
      <c r="A16" s="312"/>
      <c r="B16" s="107" t="s">
        <v>199</v>
      </c>
      <c r="C16" s="66"/>
    </row>
    <row r="17" spans="1:3" ht="53.5" customHeight="1" x14ac:dyDescent="0.55000000000000004">
      <c r="A17" s="312"/>
      <c r="B17" s="109" t="s">
        <v>200</v>
      </c>
      <c r="C17" s="66"/>
    </row>
    <row r="18" spans="1:3" ht="33" customHeight="1" x14ac:dyDescent="0.55000000000000004">
      <c r="A18" s="312"/>
      <c r="B18" s="111" t="s">
        <v>201</v>
      </c>
      <c r="C18" s="78"/>
    </row>
    <row r="19" spans="1:3" ht="33" customHeight="1" x14ac:dyDescent="0.55000000000000004">
      <c r="A19" s="312"/>
      <c r="B19" s="200" t="s">
        <v>204</v>
      </c>
      <c r="C19" s="95"/>
    </row>
    <row r="20" spans="1:3" ht="33" customHeight="1" x14ac:dyDescent="0.55000000000000004">
      <c r="A20" s="312"/>
      <c r="B20" s="109" t="s">
        <v>202</v>
      </c>
      <c r="C20" s="95"/>
    </row>
    <row r="21" spans="1:3" ht="33" customHeight="1" x14ac:dyDescent="0.55000000000000004">
      <c r="A21" s="312"/>
      <c r="B21" s="114" t="s">
        <v>203</v>
      </c>
      <c r="C21" s="96"/>
    </row>
    <row r="22" spans="1:3" ht="35.049999999999997" customHeight="1" x14ac:dyDescent="0.55000000000000004">
      <c r="A22" s="313"/>
      <c r="B22" s="207" t="s">
        <v>205</v>
      </c>
      <c r="C22" s="110"/>
    </row>
    <row r="23" spans="1:3" ht="42.65" customHeight="1" x14ac:dyDescent="0.55000000000000004">
      <c r="A23" s="311" t="s">
        <v>206</v>
      </c>
      <c r="B23" s="200" t="s">
        <v>207</v>
      </c>
      <c r="C23" s="99"/>
    </row>
    <row r="24" spans="1:3" ht="30.65" customHeight="1" x14ac:dyDescent="0.55000000000000004">
      <c r="A24" s="312"/>
      <c r="B24" s="107" t="s">
        <v>208</v>
      </c>
      <c r="C24" s="106"/>
    </row>
    <row r="25" spans="1:3" ht="31.3" customHeight="1" x14ac:dyDescent="0.55000000000000004">
      <c r="A25" s="312"/>
      <c r="B25" s="109" t="s">
        <v>209</v>
      </c>
      <c r="C25" s="106"/>
    </row>
    <row r="26" spans="1:3" ht="37.299999999999997" customHeight="1" x14ac:dyDescent="0.55000000000000004">
      <c r="A26" s="312"/>
      <c r="B26" s="108" t="s">
        <v>250</v>
      </c>
      <c r="C26" s="110"/>
    </row>
    <row r="27" spans="1:3" ht="48" customHeight="1" x14ac:dyDescent="0.55000000000000004">
      <c r="A27" s="313"/>
      <c r="B27" s="208" t="s">
        <v>161</v>
      </c>
      <c r="C27" s="102"/>
    </row>
    <row r="28" spans="1:3" ht="30" x14ac:dyDescent="0.55000000000000004">
      <c r="A28" s="311" t="s">
        <v>264</v>
      </c>
      <c r="B28" s="202" t="s">
        <v>210</v>
      </c>
      <c r="C28" s="99"/>
    </row>
    <row r="29" spans="1:3" ht="45" x14ac:dyDescent="0.55000000000000004">
      <c r="A29" s="312"/>
      <c r="B29" s="107" t="s">
        <v>211</v>
      </c>
      <c r="C29" s="106"/>
    </row>
    <row r="30" spans="1:3" ht="30" x14ac:dyDescent="0.55000000000000004">
      <c r="A30" s="312"/>
      <c r="B30" s="107" t="s">
        <v>215</v>
      </c>
      <c r="C30" s="106"/>
    </row>
    <row r="31" spans="1:3" ht="30" x14ac:dyDescent="0.55000000000000004">
      <c r="A31" s="312"/>
      <c r="B31" s="107" t="s">
        <v>212</v>
      </c>
      <c r="C31" s="106"/>
    </row>
    <row r="32" spans="1:3" x14ac:dyDescent="0.55000000000000004">
      <c r="A32" s="312"/>
      <c r="B32" s="107" t="s">
        <v>213</v>
      </c>
      <c r="C32" s="106"/>
    </row>
    <row r="33" spans="1:5" ht="30" x14ac:dyDescent="0.55000000000000004">
      <c r="A33" s="312"/>
      <c r="B33" s="107" t="s">
        <v>214</v>
      </c>
      <c r="C33" s="106"/>
    </row>
    <row r="34" spans="1:5" ht="30" x14ac:dyDescent="0.55000000000000004">
      <c r="A34" s="312"/>
      <c r="B34" s="202" t="s">
        <v>216</v>
      </c>
      <c r="C34" s="99"/>
      <c r="E34" s="115"/>
    </row>
    <row r="35" spans="1:5" x14ac:dyDescent="0.55000000000000004">
      <c r="A35" s="312"/>
      <c r="B35" s="107" t="s">
        <v>217</v>
      </c>
      <c r="C35" s="107"/>
      <c r="E35" s="116"/>
    </row>
    <row r="36" spans="1:5" ht="30" x14ac:dyDescent="0.55000000000000004">
      <c r="A36" s="312"/>
      <c r="B36" s="108" t="s">
        <v>218</v>
      </c>
      <c r="C36" s="110"/>
    </row>
    <row r="37" spans="1:5" ht="30" x14ac:dyDescent="0.55000000000000004">
      <c r="A37" s="313"/>
      <c r="B37" s="209" t="s">
        <v>174</v>
      </c>
      <c r="C37" s="102"/>
    </row>
    <row r="38" spans="1:5" ht="17.05" customHeight="1" x14ac:dyDescent="0.55000000000000004">
      <c r="A38" s="143" t="s">
        <v>114</v>
      </c>
      <c r="B38" s="144"/>
      <c r="C38" s="145"/>
    </row>
    <row r="39" spans="1:5" ht="46.3" customHeight="1" x14ac:dyDescent="0.55000000000000004">
      <c r="A39" s="311" t="s">
        <v>263</v>
      </c>
      <c r="B39" s="199" t="s">
        <v>167</v>
      </c>
      <c r="C39" s="314"/>
    </row>
    <row r="40" spans="1:5" ht="46.3" customHeight="1" x14ac:dyDescent="0.55000000000000004">
      <c r="A40" s="312"/>
      <c r="B40" s="105" t="s">
        <v>168</v>
      </c>
      <c r="C40" s="315"/>
    </row>
    <row r="41" spans="1:5" ht="30" x14ac:dyDescent="0.55000000000000004">
      <c r="A41" s="312"/>
      <c r="B41" s="105" t="s">
        <v>169</v>
      </c>
      <c r="C41" s="316"/>
    </row>
    <row r="42" spans="1:5" ht="32.5" customHeight="1" x14ac:dyDescent="0.55000000000000004">
      <c r="A42" s="312"/>
      <c r="B42" s="200" t="s">
        <v>170</v>
      </c>
      <c r="C42" s="106"/>
    </row>
    <row r="43" spans="1:5" ht="29.5" customHeight="1" x14ac:dyDescent="0.55000000000000004">
      <c r="A43" s="312"/>
      <c r="B43" s="105" t="s">
        <v>171</v>
      </c>
      <c r="C43" s="106"/>
    </row>
    <row r="44" spans="1:5" ht="45.65" customHeight="1" x14ac:dyDescent="0.55000000000000004">
      <c r="A44" s="312"/>
      <c r="B44" s="105" t="s">
        <v>172</v>
      </c>
      <c r="C44" s="106"/>
    </row>
    <row r="45" spans="1:5" ht="30" x14ac:dyDescent="0.55000000000000004">
      <c r="A45" s="312"/>
      <c r="B45" s="111" t="s">
        <v>173</v>
      </c>
      <c r="C45" s="78"/>
    </row>
    <row r="46" spans="1:5" ht="32.5" customHeight="1" x14ac:dyDescent="0.55000000000000004">
      <c r="A46" s="313"/>
      <c r="B46" s="201" t="s">
        <v>174</v>
      </c>
      <c r="C46" s="72"/>
    </row>
    <row r="47" spans="1:5" ht="31.3" customHeight="1" x14ac:dyDescent="0.55000000000000004">
      <c r="A47" s="311" t="s">
        <v>176</v>
      </c>
      <c r="B47" s="200" t="s">
        <v>177</v>
      </c>
      <c r="C47" s="106"/>
    </row>
    <row r="48" spans="1:5" x14ac:dyDescent="0.55000000000000004">
      <c r="A48" s="312"/>
      <c r="B48" s="107" t="s">
        <v>178</v>
      </c>
      <c r="C48" s="106"/>
    </row>
    <row r="49" spans="1:3" x14ac:dyDescent="0.55000000000000004">
      <c r="A49" s="312"/>
      <c r="B49" s="107" t="s">
        <v>183</v>
      </c>
      <c r="C49" s="106"/>
    </row>
    <row r="50" spans="1:3" ht="30" x14ac:dyDescent="0.55000000000000004">
      <c r="A50" s="312"/>
      <c r="B50" s="107" t="s">
        <v>185</v>
      </c>
      <c r="C50" s="106"/>
    </row>
    <row r="51" spans="1:3" x14ac:dyDescent="0.55000000000000004">
      <c r="A51" s="312"/>
      <c r="B51" s="107" t="s">
        <v>186</v>
      </c>
      <c r="C51" s="106"/>
    </row>
    <row r="52" spans="1:3" ht="30" x14ac:dyDescent="0.55000000000000004">
      <c r="A52" s="312"/>
      <c r="B52" s="107" t="s">
        <v>187</v>
      </c>
      <c r="C52" s="66"/>
    </row>
    <row r="53" spans="1:3" x14ac:dyDescent="0.55000000000000004">
      <c r="A53" s="312"/>
      <c r="B53" s="111" t="s">
        <v>188</v>
      </c>
      <c r="C53" s="78"/>
    </row>
    <row r="54" spans="1:3" x14ac:dyDescent="0.55000000000000004">
      <c r="A54" s="312"/>
      <c r="B54" s="202" t="s">
        <v>184</v>
      </c>
      <c r="C54" s="77"/>
    </row>
    <row r="55" spans="1:3" ht="30" x14ac:dyDescent="0.55000000000000004">
      <c r="A55" s="312"/>
      <c r="B55" s="151" t="s">
        <v>179</v>
      </c>
      <c r="C55" s="66"/>
    </row>
    <row r="56" spans="1:3" ht="30" x14ac:dyDescent="0.55000000000000004">
      <c r="A56" s="312"/>
      <c r="B56" s="151" t="s">
        <v>180</v>
      </c>
      <c r="C56" s="66"/>
    </row>
    <row r="57" spans="1:3" x14ac:dyDescent="0.55000000000000004">
      <c r="A57" s="312"/>
      <c r="B57" s="151" t="s">
        <v>181</v>
      </c>
      <c r="C57" s="66"/>
    </row>
    <row r="58" spans="1:3" ht="30" x14ac:dyDescent="0.55000000000000004">
      <c r="A58" s="312"/>
      <c r="B58" s="152" t="s">
        <v>182</v>
      </c>
      <c r="C58" s="78"/>
    </row>
    <row r="59" spans="1:3" ht="36.65" customHeight="1" x14ac:dyDescent="0.55000000000000004">
      <c r="A59" s="313"/>
      <c r="B59" s="201" t="s">
        <v>174</v>
      </c>
      <c r="C59" s="78"/>
    </row>
    <row r="60" spans="1:3" ht="30" x14ac:dyDescent="0.55000000000000004">
      <c r="A60" s="308" t="s">
        <v>231</v>
      </c>
      <c r="B60" s="203" t="s">
        <v>190</v>
      </c>
      <c r="C60" s="77"/>
    </row>
    <row r="61" spans="1:3" ht="30" x14ac:dyDescent="0.55000000000000004">
      <c r="A61" s="309"/>
      <c r="B61" s="112" t="s">
        <v>191</v>
      </c>
      <c r="C61" s="66"/>
    </row>
    <row r="62" spans="1:3" ht="30" x14ac:dyDescent="0.55000000000000004">
      <c r="A62" s="309"/>
      <c r="B62" s="113" t="s">
        <v>192</v>
      </c>
      <c r="C62" s="78"/>
    </row>
    <row r="63" spans="1:3" ht="30" x14ac:dyDescent="0.55000000000000004">
      <c r="A63" s="309"/>
      <c r="B63" s="204" t="s">
        <v>193</v>
      </c>
      <c r="C63" s="66"/>
    </row>
    <row r="64" spans="1:3" x14ac:dyDescent="0.55000000000000004">
      <c r="A64" s="309"/>
      <c r="B64" s="112" t="s">
        <v>194</v>
      </c>
      <c r="C64" s="66"/>
    </row>
    <row r="65" spans="1:3" ht="45" x14ac:dyDescent="0.55000000000000004">
      <c r="A65" s="309"/>
      <c r="B65" s="113" t="s">
        <v>195</v>
      </c>
      <c r="C65" s="78"/>
    </row>
    <row r="66" spans="1:3" ht="30" x14ac:dyDescent="0.55000000000000004">
      <c r="A66" s="310"/>
      <c r="B66" s="205" t="s">
        <v>189</v>
      </c>
      <c r="C66" s="78"/>
    </row>
    <row r="67" spans="1:3" s="93" customFormat="1" ht="20.25" customHeight="1" x14ac:dyDescent="0.55000000000000004">
      <c r="A67" s="63" t="s">
        <v>265</v>
      </c>
      <c r="B67" s="63"/>
      <c r="C67" s="63"/>
    </row>
    <row r="68" spans="1:3" s="91" customFormat="1" ht="18.75" customHeight="1" x14ac:dyDescent="0.55000000000000004">
      <c r="A68" s="64" t="s">
        <v>70</v>
      </c>
      <c r="B68" s="147" t="s">
        <v>71</v>
      </c>
      <c r="C68" s="148" t="s">
        <v>69</v>
      </c>
    </row>
    <row r="69" spans="1:3" s="91" customFormat="1" ht="18.75" customHeight="1" x14ac:dyDescent="0.55000000000000004">
      <c r="A69" s="317" t="s">
        <v>166</v>
      </c>
      <c r="B69" s="318"/>
      <c r="C69" s="146"/>
    </row>
    <row r="70" spans="1:3" ht="30" x14ac:dyDescent="0.55000000000000004">
      <c r="A70" s="319" t="s">
        <v>77</v>
      </c>
      <c r="B70" s="210" t="s">
        <v>157</v>
      </c>
      <c r="C70" s="142"/>
    </row>
    <row r="71" spans="1:3" x14ac:dyDescent="0.55000000000000004">
      <c r="A71" s="320"/>
      <c r="B71" s="100" t="s">
        <v>159</v>
      </c>
      <c r="C71" s="71"/>
    </row>
    <row r="72" spans="1:3" ht="30" x14ac:dyDescent="0.55000000000000004">
      <c r="A72" s="320"/>
      <c r="B72" s="100" t="s">
        <v>267</v>
      </c>
      <c r="C72" s="71"/>
    </row>
    <row r="73" spans="1:3" ht="30" x14ac:dyDescent="0.55000000000000004">
      <c r="A73" s="320"/>
      <c r="B73" s="100" t="s">
        <v>158</v>
      </c>
      <c r="C73" s="71"/>
    </row>
    <row r="74" spans="1:3" ht="30" x14ac:dyDescent="0.55000000000000004">
      <c r="A74" s="321"/>
      <c r="B74" s="211" t="s">
        <v>161</v>
      </c>
      <c r="C74" s="76"/>
    </row>
    <row r="75" spans="1:3" x14ac:dyDescent="0.55000000000000004">
      <c r="A75" s="319" t="s">
        <v>162</v>
      </c>
      <c r="B75" s="210" t="s">
        <v>163</v>
      </c>
      <c r="C75" s="70"/>
    </row>
    <row r="76" spans="1:3" x14ac:dyDescent="0.55000000000000004">
      <c r="A76" s="320"/>
      <c r="B76" s="100" t="s">
        <v>164</v>
      </c>
      <c r="C76" s="71"/>
    </row>
    <row r="77" spans="1:3" x14ac:dyDescent="0.55000000000000004">
      <c r="A77" s="320"/>
      <c r="B77" s="100" t="s">
        <v>252</v>
      </c>
      <c r="C77" s="71"/>
    </row>
    <row r="78" spans="1:3" ht="30" x14ac:dyDescent="0.55000000000000004">
      <c r="A78" s="320"/>
      <c r="B78" s="100" t="s">
        <v>165</v>
      </c>
      <c r="C78" s="71"/>
    </row>
    <row r="79" spans="1:3" ht="42" customHeight="1" x14ac:dyDescent="0.55000000000000004">
      <c r="A79" s="322"/>
      <c r="B79" s="208" t="s">
        <v>160</v>
      </c>
      <c r="C79" s="102"/>
    </row>
    <row r="80" spans="1:3" s="93" customFormat="1" ht="20.25" customHeight="1" x14ac:dyDescent="0.55000000000000004">
      <c r="A80" s="63" t="s">
        <v>219</v>
      </c>
      <c r="B80" s="63"/>
      <c r="C80" s="63"/>
    </row>
    <row r="81" spans="1:3" s="91" customFormat="1" ht="18.75" customHeight="1" x14ac:dyDescent="0.55000000000000004">
      <c r="A81" s="64" t="s">
        <v>70</v>
      </c>
      <c r="B81" s="90" t="s">
        <v>71</v>
      </c>
      <c r="C81" s="65" t="s">
        <v>69</v>
      </c>
    </row>
    <row r="82" spans="1:3" s="91" customFormat="1" ht="18.75" customHeight="1" x14ac:dyDescent="0.55000000000000004">
      <c r="A82" s="153" t="s">
        <v>254</v>
      </c>
      <c r="B82" s="154"/>
      <c r="C82" s="155"/>
    </row>
    <row r="83" spans="1:3" ht="30" x14ac:dyDescent="0.55000000000000004">
      <c r="A83" s="323" t="s">
        <v>221</v>
      </c>
      <c r="B83" s="226" t="s">
        <v>222</v>
      </c>
      <c r="C83" s="83"/>
    </row>
    <row r="84" spans="1:3" x14ac:dyDescent="0.55000000000000004">
      <c r="A84" s="324"/>
      <c r="B84" s="112" t="s">
        <v>220</v>
      </c>
      <c r="C84" s="84"/>
    </row>
    <row r="85" spans="1:3" ht="30" x14ac:dyDescent="0.55000000000000004">
      <c r="A85" s="324"/>
      <c r="B85" s="112" t="s">
        <v>279</v>
      </c>
      <c r="C85" s="84"/>
    </row>
    <row r="86" spans="1:3" ht="30" x14ac:dyDescent="0.55000000000000004">
      <c r="A86" s="324"/>
      <c r="B86" s="113" t="s">
        <v>278</v>
      </c>
      <c r="C86" s="104"/>
    </row>
    <row r="87" spans="1:3" ht="30" x14ac:dyDescent="0.55000000000000004">
      <c r="A87" s="325"/>
      <c r="B87" s="212" t="s">
        <v>161</v>
      </c>
      <c r="C87" s="156"/>
    </row>
    <row r="88" spans="1:3" x14ac:dyDescent="0.55000000000000004">
      <c r="A88" s="332" t="s">
        <v>272</v>
      </c>
      <c r="B88" s="213" t="s">
        <v>274</v>
      </c>
      <c r="C88" s="101"/>
    </row>
    <row r="89" spans="1:3" ht="30" x14ac:dyDescent="0.55000000000000004">
      <c r="A89" s="320"/>
      <c r="B89" s="92" t="s">
        <v>225</v>
      </c>
      <c r="C89" s="149"/>
    </row>
    <row r="90" spans="1:3" x14ac:dyDescent="0.55000000000000004">
      <c r="A90" s="320"/>
      <c r="B90" s="92" t="s">
        <v>223</v>
      </c>
      <c r="C90" s="149"/>
    </row>
    <row r="91" spans="1:3" x14ac:dyDescent="0.55000000000000004">
      <c r="A91" s="320"/>
      <c r="B91" s="92" t="s">
        <v>224</v>
      </c>
      <c r="C91" s="150"/>
    </row>
    <row r="92" spans="1:3" ht="30" x14ac:dyDescent="0.55000000000000004">
      <c r="A92" s="322"/>
      <c r="B92" s="209" t="s">
        <v>161</v>
      </c>
      <c r="C92" s="157"/>
    </row>
    <row r="93" spans="1:3" x14ac:dyDescent="0.55000000000000004">
      <c r="A93" s="35"/>
      <c r="B93" s="35"/>
    </row>
    <row r="94" spans="1:3" s="93" customFormat="1" ht="21" customHeight="1" x14ac:dyDescent="0.55000000000000004">
      <c r="A94" s="117" t="s">
        <v>78</v>
      </c>
      <c r="B94" s="68"/>
      <c r="C94" s="68"/>
    </row>
    <row r="95" spans="1:3" s="93" customFormat="1" ht="18" customHeight="1" x14ac:dyDescent="0.55000000000000004">
      <c r="A95" s="118" t="s">
        <v>232</v>
      </c>
      <c r="B95" s="68"/>
      <c r="C95" s="68"/>
    </row>
    <row r="96" spans="1:3" ht="16.5" customHeight="1" x14ac:dyDescent="0.55000000000000004">
      <c r="A96" s="52" t="s">
        <v>233</v>
      </c>
      <c r="B96" s="35"/>
    </row>
    <row r="97" spans="1:3" x14ac:dyDescent="0.55000000000000004">
      <c r="A97" s="52"/>
      <c r="B97" s="35"/>
    </row>
    <row r="98" spans="1:3" ht="21" customHeight="1" x14ac:dyDescent="0.55000000000000004">
      <c r="A98" s="74" t="s">
        <v>70</v>
      </c>
      <c r="B98" s="97" t="s">
        <v>71</v>
      </c>
      <c r="C98" s="75" t="s">
        <v>79</v>
      </c>
    </row>
    <row r="99" spans="1:3" ht="21" customHeight="1" x14ac:dyDescent="0.55000000000000004">
      <c r="A99" s="329" t="s">
        <v>80</v>
      </c>
      <c r="B99" s="213" t="s">
        <v>228</v>
      </c>
      <c r="C99" s="326"/>
    </row>
    <row r="100" spans="1:3" ht="30" x14ac:dyDescent="0.55000000000000004">
      <c r="A100" s="330"/>
      <c r="B100" s="92" t="s">
        <v>227</v>
      </c>
      <c r="C100" s="327"/>
    </row>
    <row r="101" spans="1:3" x14ac:dyDescent="0.55000000000000004">
      <c r="A101" s="331"/>
      <c r="B101" s="92" t="s">
        <v>81</v>
      </c>
      <c r="C101" s="328"/>
    </row>
    <row r="102" spans="1:3" ht="60.45" x14ac:dyDescent="0.55000000000000004">
      <c r="A102" s="69" t="s">
        <v>82</v>
      </c>
      <c r="B102" s="98" t="s">
        <v>268</v>
      </c>
      <c r="C102" s="99"/>
    </row>
    <row r="103" spans="1:3" ht="45.65" customHeight="1" x14ac:dyDescent="0.55000000000000004">
      <c r="A103" s="323" t="s">
        <v>83</v>
      </c>
      <c r="B103" s="214" t="s">
        <v>226</v>
      </c>
      <c r="C103" s="305"/>
    </row>
    <row r="104" spans="1:3" ht="48.65" customHeight="1" x14ac:dyDescent="0.55000000000000004">
      <c r="A104" s="324"/>
      <c r="B104" s="215" t="s">
        <v>229</v>
      </c>
      <c r="C104" s="306"/>
    </row>
    <row r="105" spans="1:3" ht="45.65" customHeight="1" x14ac:dyDescent="0.55000000000000004">
      <c r="A105" s="67" t="s">
        <v>84</v>
      </c>
      <c r="B105" s="216" t="s">
        <v>230</v>
      </c>
      <c r="C105" s="73"/>
    </row>
  </sheetData>
  <mergeCells count="18">
    <mergeCell ref="A69:B69"/>
    <mergeCell ref="A70:A74"/>
    <mergeCell ref="A75:A79"/>
    <mergeCell ref="C103:C104"/>
    <mergeCell ref="A83:A87"/>
    <mergeCell ref="C99:C101"/>
    <mergeCell ref="A99:A101"/>
    <mergeCell ref="A88:A92"/>
    <mergeCell ref="A103:A104"/>
    <mergeCell ref="A4:A8"/>
    <mergeCell ref="C4:C8"/>
    <mergeCell ref="A60:A66"/>
    <mergeCell ref="A39:A46"/>
    <mergeCell ref="C39:C41"/>
    <mergeCell ref="A47:A59"/>
    <mergeCell ref="A12:A22"/>
    <mergeCell ref="A23:A27"/>
    <mergeCell ref="A28:A37"/>
  </mergeCells>
  <phoneticPr fontId="3" type="noConversion"/>
  <printOptions horizontalCentered="1"/>
  <pageMargins left="0.62992125984251968" right="0.62992125984251968" top="0.74803149606299213" bottom="0.74803149606299213" header="0.31496062992125984" footer="0.31496062992125984"/>
  <pageSetup paperSize="9" scale="62" orientation="portrait" r:id="rId1"/>
  <rowBreaks count="1" manualBreakCount="1">
    <brk id="53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C3E36-D7E7-4F2C-980F-9AC9B3335271}">
  <dimension ref="A1:C33"/>
  <sheetViews>
    <sheetView showGridLines="0" view="pageBreakPreview" topLeftCell="A9" zoomScale="115" zoomScaleNormal="115" zoomScaleSheetLayoutView="115" workbookViewId="0">
      <selection activeCell="B13" sqref="B13"/>
    </sheetView>
  </sheetViews>
  <sheetFormatPr defaultColWidth="9" defaultRowHeight="17.600000000000001" x14ac:dyDescent="0.55000000000000004"/>
  <cols>
    <col min="1" max="1" width="21.35546875" style="85" customWidth="1"/>
    <col min="2" max="2" width="56.140625" style="54" customWidth="1"/>
    <col min="3" max="3" width="10.5" style="54" customWidth="1"/>
    <col min="4" max="16384" width="9" style="28"/>
  </cols>
  <sheetData>
    <row r="1" spans="1:3" s="54" customFormat="1" ht="42" customHeight="1" x14ac:dyDescent="0.55000000000000004">
      <c r="A1" s="228" t="s">
        <v>85</v>
      </c>
      <c r="B1" s="228"/>
      <c r="C1" s="53"/>
    </row>
    <row r="2" spans="1:3" s="54" customFormat="1" ht="27" x14ac:dyDescent="0.55000000000000004">
      <c r="A2" s="55"/>
      <c r="B2" s="55"/>
      <c r="C2" s="55"/>
    </row>
    <row r="3" spans="1:3" s="58" customFormat="1" ht="12.75" customHeight="1" x14ac:dyDescent="0.55000000000000004">
      <c r="A3" s="56"/>
      <c r="B3" s="56"/>
      <c r="C3" s="57"/>
    </row>
    <row r="4" spans="1:3" s="54" customFormat="1" ht="24" customHeight="1" x14ac:dyDescent="0.55000000000000004">
      <c r="A4" s="229" t="s">
        <v>269</v>
      </c>
      <c r="B4" s="229"/>
      <c r="C4" s="59"/>
    </row>
    <row r="5" spans="1:3" s="54" customFormat="1" ht="24" customHeight="1" x14ac:dyDescent="0.55000000000000004">
      <c r="A5" s="229" t="s">
        <v>86</v>
      </c>
      <c r="B5" s="229"/>
      <c r="C5" s="59"/>
    </row>
    <row r="6" spans="1:3" s="54" customFormat="1" ht="24" customHeight="1" x14ac:dyDescent="0.55000000000000004">
      <c r="A6" s="229" t="s">
        <v>87</v>
      </c>
      <c r="B6" s="229"/>
      <c r="C6" s="60"/>
    </row>
    <row r="7" spans="1:3" s="54" customFormat="1" ht="23.6" x14ac:dyDescent="0.55000000000000004">
      <c r="A7" s="61"/>
    </row>
    <row r="8" spans="1:3" s="35" customFormat="1" ht="23.25" customHeight="1" x14ac:dyDescent="0.55000000000000004">
      <c r="A8" s="62" t="s">
        <v>68</v>
      </c>
      <c r="B8" s="62"/>
      <c r="C8" s="62"/>
    </row>
    <row r="9" spans="1:3" s="68" customFormat="1" ht="20.25" customHeight="1" x14ac:dyDescent="0.55000000000000004">
      <c r="A9" s="63" t="s">
        <v>271</v>
      </c>
      <c r="B9" s="63"/>
    </row>
    <row r="10" spans="1:3" s="52" customFormat="1" ht="18.75" customHeight="1" x14ac:dyDescent="0.55000000000000004">
      <c r="A10" s="79" t="s">
        <v>70</v>
      </c>
      <c r="B10" s="79" t="s">
        <v>69</v>
      </c>
    </row>
    <row r="11" spans="1:3" s="35" customFormat="1" ht="14.5" customHeight="1" x14ac:dyDescent="0.55000000000000004">
      <c r="A11" s="230" t="s">
        <v>89</v>
      </c>
      <c r="B11" s="231"/>
    </row>
    <row r="12" spans="1:3" s="35" customFormat="1" ht="48" customHeight="1" x14ac:dyDescent="0.55000000000000004">
      <c r="A12" s="82" t="s">
        <v>253</v>
      </c>
      <c r="B12" s="81"/>
    </row>
    <row r="13" spans="1:3" s="35" customFormat="1" ht="48" customHeight="1" x14ac:dyDescent="0.55000000000000004">
      <c r="A13" s="82" t="s">
        <v>206</v>
      </c>
      <c r="B13" s="81"/>
    </row>
    <row r="14" spans="1:3" s="35" customFormat="1" ht="48" customHeight="1" x14ac:dyDescent="0.55000000000000004">
      <c r="A14" s="82" t="s">
        <v>255</v>
      </c>
      <c r="B14" s="81"/>
    </row>
    <row r="15" spans="1:3" s="35" customFormat="1" ht="14.5" customHeight="1" x14ac:dyDescent="0.55000000000000004">
      <c r="A15" s="227" t="s">
        <v>88</v>
      </c>
      <c r="B15" s="227"/>
    </row>
    <row r="16" spans="1:3" s="35" customFormat="1" ht="48" customHeight="1" x14ac:dyDescent="0.55000000000000004">
      <c r="A16" s="80" t="s">
        <v>175</v>
      </c>
      <c r="B16" s="81"/>
    </row>
    <row r="17" spans="1:3" s="35" customFormat="1" ht="48" customHeight="1" x14ac:dyDescent="0.55000000000000004">
      <c r="A17" s="82" t="s">
        <v>176</v>
      </c>
      <c r="B17" s="81"/>
    </row>
    <row r="18" spans="1:3" s="35" customFormat="1" ht="48" customHeight="1" x14ac:dyDescent="0.55000000000000004">
      <c r="A18" s="82" t="s">
        <v>231</v>
      </c>
      <c r="B18" s="81"/>
    </row>
    <row r="19" spans="1:3" s="68" customFormat="1" ht="20.25" customHeight="1" x14ac:dyDescent="0.55000000000000004">
      <c r="A19" s="63" t="s">
        <v>155</v>
      </c>
      <c r="B19" s="63"/>
    </row>
    <row r="20" spans="1:3" s="52" customFormat="1" ht="18.75" customHeight="1" x14ac:dyDescent="0.55000000000000004">
      <c r="A20" s="64" t="s">
        <v>70</v>
      </c>
      <c r="B20" s="65" t="s">
        <v>69</v>
      </c>
    </row>
    <row r="21" spans="1:3" s="52" customFormat="1" x14ac:dyDescent="0.55000000000000004">
      <c r="A21" s="227" t="s">
        <v>249</v>
      </c>
      <c r="B21" s="227"/>
    </row>
    <row r="22" spans="1:3" s="35" customFormat="1" ht="48" customHeight="1" x14ac:dyDescent="0.55000000000000004">
      <c r="A22" s="196" t="s">
        <v>77</v>
      </c>
      <c r="B22" s="197"/>
    </row>
    <row r="23" spans="1:3" s="35" customFormat="1" ht="48" customHeight="1" x14ac:dyDescent="0.55000000000000004">
      <c r="A23" s="195" t="s">
        <v>162</v>
      </c>
      <c r="B23" s="78"/>
    </row>
    <row r="24" spans="1:3" s="68" customFormat="1" ht="20.25" customHeight="1" x14ac:dyDescent="0.55000000000000004">
      <c r="A24" s="63" t="s">
        <v>247</v>
      </c>
      <c r="B24" s="63"/>
    </row>
    <row r="25" spans="1:3" s="52" customFormat="1" ht="18.75" customHeight="1" x14ac:dyDescent="0.55000000000000004">
      <c r="A25" s="64" t="s">
        <v>70</v>
      </c>
      <c r="B25" s="65" t="s">
        <v>69</v>
      </c>
    </row>
    <row r="26" spans="1:3" s="52" customFormat="1" x14ac:dyDescent="0.55000000000000004">
      <c r="A26" s="227" t="s">
        <v>256</v>
      </c>
      <c r="B26" s="227"/>
    </row>
    <row r="27" spans="1:3" s="35" customFormat="1" ht="48" customHeight="1" x14ac:dyDescent="0.55000000000000004">
      <c r="A27" s="218" t="s">
        <v>221</v>
      </c>
      <c r="B27" s="219"/>
    </row>
    <row r="28" spans="1:3" s="35" customFormat="1" ht="48" customHeight="1" x14ac:dyDescent="0.55000000000000004">
      <c r="A28" s="220" t="s">
        <v>272</v>
      </c>
      <c r="B28" s="221"/>
    </row>
    <row r="29" spans="1:3" s="85" customFormat="1" ht="20.25" customHeight="1" x14ac:dyDescent="0.55000000000000004">
      <c r="B29" s="54"/>
      <c r="C29" s="54"/>
    </row>
    <row r="30" spans="1:3" s="85" customFormat="1" ht="24.75" customHeight="1" x14ac:dyDescent="0.55000000000000004">
      <c r="B30" s="86" t="s">
        <v>270</v>
      </c>
      <c r="C30" s="87"/>
    </row>
    <row r="31" spans="1:3" s="85" customFormat="1" ht="8.25" customHeight="1" x14ac:dyDescent="0.55000000000000004">
      <c r="B31" s="86"/>
      <c r="C31" s="87"/>
    </row>
    <row r="32" spans="1:3" s="85" customFormat="1" ht="24.75" customHeight="1" x14ac:dyDescent="0.55000000000000004">
      <c r="B32" s="88" t="s">
        <v>248</v>
      </c>
      <c r="C32" s="89"/>
    </row>
    <row r="33" spans="1:3" s="54" customFormat="1" ht="42" customHeight="1" x14ac:dyDescent="0.55000000000000004">
      <c r="A33" s="228"/>
      <c r="B33" s="228"/>
      <c r="C33" s="53"/>
    </row>
  </sheetData>
  <mergeCells count="9">
    <mergeCell ref="A26:B26"/>
    <mergeCell ref="A33:B33"/>
    <mergeCell ref="A15:B15"/>
    <mergeCell ref="A1:B1"/>
    <mergeCell ref="A4:B4"/>
    <mergeCell ref="A5:B5"/>
    <mergeCell ref="A6:B6"/>
    <mergeCell ref="A11:B11"/>
    <mergeCell ref="A21:B21"/>
  </mergeCells>
  <phoneticPr fontId="3" type="noConversion"/>
  <pageMargins left="0.7" right="0.7" top="0.75" bottom="0.75" header="0.3" footer="0.3"/>
  <pageSetup paperSize="9" scale="7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5403D-C57F-4605-8C3C-54C989C8654A}">
  <dimension ref="A1"/>
  <sheetViews>
    <sheetView workbookViewId="0">
      <selection sqref="A1:B1"/>
    </sheetView>
  </sheetViews>
  <sheetFormatPr defaultRowHeight="17.600000000000001" x14ac:dyDescent="0.55000000000000004"/>
  <sheetData/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E0E34-7A4E-49B0-BC5B-CD26AE81163F}">
  <dimension ref="A1"/>
  <sheetViews>
    <sheetView workbookViewId="0">
      <selection sqref="A1:B1"/>
    </sheetView>
  </sheetViews>
  <sheetFormatPr defaultRowHeight="17.600000000000001" x14ac:dyDescent="0.55000000000000004"/>
  <sheetData/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5BDFEF8913235408536E73EF4625E24" ma:contentTypeVersion="2" ma:contentTypeDescription="새 문서를 만듭니다." ma:contentTypeScope="" ma:versionID="85622f904510bcdf4466dcd9052279bc">
  <xsd:schema xmlns:xsd="http://www.w3.org/2001/XMLSchema" xmlns:xs="http://www.w3.org/2001/XMLSchema" xmlns:p="http://schemas.microsoft.com/office/2006/metadata/properties" xmlns:ns3="d636186c-3d43-406a-ab5b-22b48a325cb7" targetNamespace="http://schemas.microsoft.com/office/2006/metadata/properties" ma:root="true" ma:fieldsID="60d5d9b25457a34d0e8f0b8d7cb506aa" ns3:_="">
    <xsd:import namespace="d636186c-3d43-406a-ab5b-22b48a325cb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36186c-3d43-406a-ab5b-22b48a325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F28FF5-6D63-4E8C-8BB6-A462F177F2EE}">
  <ds:schemaRefs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d636186c-3d43-406a-ab5b-22b48a325cb7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ACE25FD-D7C7-4210-881F-1D3834CDF5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30DD98-B7F7-4284-8B02-1E76D06BAB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36186c-3d43-406a-ab5b-22b48a325c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1</vt:i4>
      </vt:variant>
    </vt:vector>
  </HeadingPairs>
  <TitlesOfParts>
    <vt:vector size="8" baseType="lpstr">
      <vt:lpstr>발견사항요약표</vt:lpstr>
      <vt:lpstr>조직·운영특성</vt:lpstr>
      <vt:lpstr>지정요건검토</vt:lpstr>
      <vt:lpstr>checklist-조직</vt:lpstr>
      <vt:lpstr>확인서-조직</vt:lpstr>
      <vt:lpstr>메모1</vt:lpstr>
      <vt:lpstr>메모2</vt:lpstr>
      <vt:lpstr>조직·운영특성!Print_Area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KICPA</dc:creator>
  <cp:lastModifiedBy>AUDIT3</cp:lastModifiedBy>
  <cp:lastPrinted>2026-08-28T07:33:54Z</cp:lastPrinted>
  <dcterms:created xsi:type="dcterms:W3CDTF">2023-02-24T06:01:26Z</dcterms:created>
  <dcterms:modified xsi:type="dcterms:W3CDTF">2026-09-06T23:55:51Z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0x01010065BDFEF8913235408536E73EF4625E24</vt:lpwstr>
  </property>
</Properties>
</file>